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trlProps/ctrlProp8.xml" ContentType="application/vnd.ms-excel.controlproperties+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ctrlProps/ctrlProp9.xml" ContentType="application/vnd.ms-excel.controlproperties+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Brenda\Desktop\BUS 308 Excel Sheets\Group Project\"/>
    </mc:Choice>
  </mc:AlternateContent>
  <xr:revisionPtr revIDLastSave="0" documentId="13_ncr:1_{C77E80C2-114B-43CC-A949-8ADF373505A5}" xr6:coauthVersionLast="47" xr6:coauthVersionMax="47" xr10:uidLastSave="{00000000-0000-0000-0000-000000000000}"/>
  <bookViews>
    <workbookView xWindow="-98" yWindow="-98" windowWidth="22695" windowHeight="14595" tabRatio="625" activeTab="2" xr2:uid="{2B20B4E2-CBEA-4649-8EA6-8797128C9A2D}"/>
  </bookViews>
  <sheets>
    <sheet name="Home" sheetId="1" r:id="rId1"/>
    <sheet name="Services" sheetId="3" r:id="rId2"/>
    <sheet name="Members" sheetId="2" r:id="rId3"/>
    <sheet name="Invoice" sheetId="16" r:id="rId4"/>
    <sheet name="Transactions" sheetId="15" r:id="rId5"/>
    <sheet name="Analytics" sheetId="13" r:id="rId6"/>
    <sheet name="Inventory" sheetId="4" r:id="rId7"/>
    <sheet name="Suppliers" sheetId="7" r:id="rId8"/>
    <sheet name="Employees" sheetId="5" r:id="rId9"/>
    <sheet name="Labor" sheetId="9" r:id="rId10"/>
    <sheet name="Dashboard " sheetId="10" r:id="rId11"/>
  </sheets>
  <externalReferences>
    <externalReference r:id="rId12"/>
  </externalReferences>
  <definedNames>
    <definedName name="_xlnm._FilterDatabase" localSheetId="7" hidden="1">Suppliers!$I$4:$J$417</definedName>
    <definedName name="Slicer_Date">#N/A</definedName>
    <definedName name="Slicer_Member_Name">#N/A</definedName>
    <definedName name="Slicer_Nail_Tech">#N/A</definedName>
  </definedNames>
  <calcPr calcId="191028" concurrentCalc="0"/>
  <pivotCaches>
    <pivotCache cacheId="0" r:id="rId13"/>
    <pivotCache cacheId="1"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 i="5" l="1"/>
  <c r="D19" i="16"/>
  <c r="D21" i="16"/>
  <c r="D24" i="16"/>
  <c r="D25" i="16"/>
  <c r="D26" i="16"/>
  <c r="D27" i="16"/>
  <c r="D22" i="16"/>
  <c r="D20" i="16"/>
  <c r="D8" i="13"/>
  <c r="D7" i="13"/>
  <c r="D6" i="13"/>
  <c r="D5" i="13"/>
  <c r="F5" i="7"/>
  <c r="M12" i="7"/>
  <c r="H5" i="9"/>
  <c r="I5" i="2"/>
  <c r="B23" i="13"/>
  <c r="I7" i="9"/>
  <c r="D5" i="9"/>
  <c r="F5" i="9"/>
  <c r="J6" i="5"/>
  <c r="H6" i="9"/>
  <c r="J7" i="5"/>
  <c r="H7" i="9"/>
  <c r="J8" i="5"/>
  <c r="H8" i="9"/>
  <c r="J9" i="5"/>
  <c r="H9" i="9"/>
  <c r="J10" i="5"/>
  <c r="H10" i="9"/>
  <c r="I11" i="2"/>
  <c r="I6" i="2"/>
  <c r="D29" i="16"/>
  <c r="C16" i="16"/>
  <c r="I7" i="2"/>
  <c r="I8" i="2"/>
  <c r="I9" i="2"/>
  <c r="I10" i="2"/>
  <c r="I12" i="2"/>
  <c r="I13" i="2"/>
  <c r="I14" i="2"/>
  <c r="I15" i="2"/>
  <c r="I16" i="2"/>
  <c r="I17" i="2"/>
  <c r="I18" i="2"/>
  <c r="C5" i="2"/>
  <c r="C6" i="2"/>
  <c r="C7" i="2"/>
  <c r="C8" i="2"/>
  <c r="D5" i="2"/>
  <c r="D6" i="2"/>
  <c r="D7" i="2"/>
  <c r="D8" i="2"/>
  <c r="C9" i="2"/>
  <c r="D9" i="2"/>
  <c r="C10" i="2"/>
  <c r="D10" i="2"/>
  <c r="C11" i="2"/>
  <c r="D11" i="2"/>
  <c r="C12" i="2"/>
  <c r="D12" i="2"/>
  <c r="C13" i="2"/>
  <c r="D13" i="2"/>
  <c r="C14" i="2"/>
  <c r="D14" i="2"/>
  <c r="C15" i="2"/>
  <c r="D15" i="2"/>
  <c r="C16" i="2"/>
  <c r="D16" i="2"/>
  <c r="C17" i="2"/>
  <c r="D17" i="2"/>
  <c r="C18" i="2"/>
  <c r="D18" i="2"/>
  <c r="D9" i="13"/>
  <c r="D10" i="13"/>
  <c r="B22" i="13"/>
  <c r="B21" i="13"/>
  <c r="B20" i="13"/>
  <c r="B19" i="13"/>
  <c r="B18" i="13"/>
  <c r="B17" i="13"/>
  <c r="B16" i="13"/>
  <c r="B15" i="13"/>
  <c r="B13" i="13"/>
  <c r="B12" i="13"/>
  <c r="B11" i="13"/>
  <c r="B10" i="13"/>
  <c r="B6" i="13"/>
  <c r="B7" i="13"/>
  <c r="B8" i="13"/>
  <c r="G6" i="4"/>
  <c r="I6" i="4"/>
  <c r="E5" i="4"/>
  <c r="G5" i="4"/>
  <c r="I5" i="4"/>
  <c r="N12" i="5"/>
  <c r="I6" i="9"/>
  <c r="I8" i="9"/>
  <c r="I9" i="9"/>
  <c r="I10" i="9"/>
  <c r="I5" i="9"/>
  <c r="A14" i="9"/>
  <c r="D6" i="9"/>
  <c r="F6" i="9"/>
  <c r="D7" i="9"/>
  <c r="F7" i="9"/>
  <c r="D8" i="9"/>
  <c r="F8" i="9"/>
  <c r="D9" i="9"/>
  <c r="F9" i="9"/>
  <c r="D10" i="9"/>
  <c r="F10" i="9"/>
  <c r="B14" i="9"/>
  <c r="H5" i="5"/>
  <c r="H6" i="5"/>
  <c r="H8" i="5"/>
  <c r="H10" i="5"/>
  <c r="N13" i="5"/>
  <c r="E19" i="4"/>
  <c r="G19" i="4"/>
  <c r="I19" i="4"/>
  <c r="G16" i="4"/>
  <c r="I16" i="4"/>
  <c r="E14" i="4"/>
  <c r="G14" i="4"/>
  <c r="I14" i="4"/>
  <c r="G20" i="4"/>
  <c r="I20" i="4"/>
  <c r="G18" i="4"/>
  <c r="I18" i="4"/>
  <c r="M15" i="7"/>
  <c r="M14" i="7"/>
  <c r="C14" i="16"/>
  <c r="K5" i="5"/>
  <c r="K6" i="5"/>
  <c r="K7" i="5"/>
  <c r="K8" i="5"/>
  <c r="K9" i="5"/>
  <c r="K10" i="5"/>
  <c r="H7" i="5"/>
  <c r="H9" i="5"/>
  <c r="D5" i="5"/>
  <c r="D6" i="5"/>
  <c r="D7" i="5"/>
  <c r="D8" i="5"/>
  <c r="D9" i="5"/>
  <c r="D10" i="5"/>
  <c r="C5" i="5"/>
  <c r="C6" i="5"/>
  <c r="C7" i="5"/>
  <c r="C8" i="5"/>
  <c r="C9" i="5"/>
  <c r="C10" i="5"/>
  <c r="M13" i="7"/>
  <c r="E21" i="4"/>
  <c r="E18" i="4"/>
  <c r="E10" i="4"/>
  <c r="G10" i="4"/>
  <c r="I10" i="4"/>
  <c r="F12" i="4"/>
  <c r="E15" i="4"/>
  <c r="G15" i="4"/>
  <c r="I15" i="4"/>
  <c r="E13" i="4"/>
  <c r="E11" i="4"/>
  <c r="E9" i="4"/>
  <c r="E8" i="4"/>
  <c r="E7" i="5"/>
  <c r="E9" i="5"/>
  <c r="E5" i="5"/>
  <c r="E8" i="5"/>
  <c r="E10" i="5"/>
  <c r="E6" i="5"/>
  <c r="G13" i="4"/>
  <c r="I13" i="4"/>
  <c r="F9" i="4"/>
  <c r="F7" i="4"/>
  <c r="G17" i="4"/>
  <c r="I17" i="4"/>
  <c r="F20" i="4"/>
  <c r="G11" i="4"/>
  <c r="I11" i="4"/>
  <c r="G12" i="4"/>
  <c r="I12" i="4"/>
  <c r="G7" i="4"/>
  <c r="I7" i="4"/>
  <c r="F16" i="4"/>
  <c r="F22" i="4"/>
  <c r="G21" i="4"/>
  <c r="I21" i="4"/>
  <c r="G22" i="4"/>
  <c r="I22" i="4"/>
  <c r="F17" i="4"/>
  <c r="G8" i="4"/>
  <c r="I8" i="4"/>
  <c r="G9" i="4"/>
  <c r="I9" i="4"/>
  <c r="F6" i="4"/>
  <c r="F15" i="4"/>
  <c r="F18" i="4"/>
  <c r="F5" i="4"/>
  <c r="F19" i="4"/>
  <c r="F8" i="4"/>
  <c r="F10" i="4"/>
  <c r="F21" i="4"/>
  <c r="F11" i="4"/>
  <c r="F14" i="4"/>
  <c r="F13" i="4"/>
  <c r="F6" i="7"/>
  <c r="F7" i="7"/>
  <c r="F8" i="7"/>
  <c r="F9" i="7"/>
  <c r="F10" i="7"/>
  <c r="F11" i="7"/>
  <c r="F12" i="7"/>
  <c r="F13" i="7"/>
  <c r="F14" i="7"/>
  <c r="F15" i="7"/>
  <c r="F16" i="7"/>
  <c r="F17" i="7"/>
  <c r="F18" i="7"/>
  <c r="F19" i="7"/>
  <c r="F20" i="7"/>
  <c r="F21" i="7"/>
  <c r="F22" i="7"/>
  <c r="E7" i="7"/>
  <c r="E6" i="7"/>
  <c r="E8" i="7"/>
  <c r="E9" i="7"/>
  <c r="E10" i="7"/>
  <c r="E11" i="7"/>
  <c r="E12" i="7"/>
  <c r="E13" i="7"/>
  <c r="E14" i="7"/>
  <c r="E15" i="7"/>
  <c r="E16" i="7"/>
  <c r="E17" i="7"/>
  <c r="E18" i="7"/>
  <c r="E19" i="7"/>
  <c r="E20" i="7"/>
  <c r="E21" i="7"/>
  <c r="E22" i="7"/>
  <c r="E5" i="7"/>
</calcChain>
</file>

<file path=xl/sharedStrings.xml><?xml version="1.0" encoding="utf-8"?>
<sst xmlns="http://schemas.openxmlformats.org/spreadsheetml/2006/main" count="925" uniqueCount="365">
  <si>
    <t>Leslie</t>
  </si>
  <si>
    <t>Phone Number:</t>
  </si>
  <si>
    <t>(650)344-1567</t>
  </si>
  <si>
    <t>Address:</t>
  </si>
  <si>
    <t xml:space="preserve">846 N Delaware St </t>
  </si>
  <si>
    <t>Welcome to Elite Nails Information System Spreadsheet</t>
  </si>
  <si>
    <t>San Mateo CA, 94401</t>
  </si>
  <si>
    <t>Enhance inner beauty, build confidence, provide a relaxing atmosphere, and exceed expectations.</t>
  </si>
  <si>
    <t>Elite Nails</t>
  </si>
  <si>
    <t>Hours</t>
  </si>
  <si>
    <t>Monday</t>
  </si>
  <si>
    <t>Closed</t>
  </si>
  <si>
    <t>Tuesday</t>
  </si>
  <si>
    <t>10AM-7PM</t>
  </si>
  <si>
    <t xml:space="preserve">At Elite Nails we aim to continuesly improve quaility and provide an outstanding  service to our customers. Customer satisfaction and safetly is our priority. Our goal is to offer the finest service, using the most exquisite product and continuously learning new techniques and skills to serve you with </t>
  </si>
  <si>
    <t>Wednesday</t>
  </si>
  <si>
    <t>Thursday</t>
  </si>
  <si>
    <t>Friday</t>
  </si>
  <si>
    <t>Saturday</t>
  </si>
  <si>
    <t>Sunday</t>
  </si>
  <si>
    <t>SERVICES</t>
  </si>
  <si>
    <t>INVOICE</t>
  </si>
  <si>
    <t>EMPLOYEE PORTAL</t>
  </si>
  <si>
    <t>Description</t>
  </si>
  <si>
    <t>MEMBERS</t>
  </si>
  <si>
    <t>TRANSACTION HISTORY</t>
  </si>
  <si>
    <t>DASHBOARD</t>
  </si>
  <si>
    <t>Customer First Name</t>
  </si>
  <si>
    <t>Customers Last Name</t>
  </si>
  <si>
    <t xml:space="preserve">Customer Full Name </t>
  </si>
  <si>
    <t>Email</t>
  </si>
  <si>
    <t>Phone Number</t>
  </si>
  <si>
    <t>Birthday</t>
  </si>
  <si>
    <t xml:space="preserve">Birthday this month? </t>
  </si>
  <si>
    <t xml:space="preserve">Two visits? </t>
  </si>
  <si>
    <t>Discount Type</t>
  </si>
  <si>
    <t>Wendy</t>
  </si>
  <si>
    <t>Yang</t>
  </si>
  <si>
    <t>(831)777-5654</t>
  </si>
  <si>
    <t>Karina</t>
  </si>
  <si>
    <t>Mendoza</t>
  </si>
  <si>
    <t>(831)867-8232</t>
  </si>
  <si>
    <t>David</t>
  </si>
  <si>
    <t>Rodriguez</t>
  </si>
  <si>
    <t>(831)800-5050</t>
  </si>
  <si>
    <t>Denise</t>
  </si>
  <si>
    <t>Fernandez</t>
  </si>
  <si>
    <t>(831)210-3266</t>
  </si>
  <si>
    <t>Jeffrey</t>
  </si>
  <si>
    <t>Sanchez</t>
  </si>
  <si>
    <t>(831)505-5252</t>
  </si>
  <si>
    <t xml:space="preserve">Monica </t>
  </si>
  <si>
    <t>Galindo</t>
  </si>
  <si>
    <t>(831)909-4430</t>
  </si>
  <si>
    <t>Jessica</t>
  </si>
  <si>
    <t>Hacinto</t>
  </si>
  <si>
    <t>(408)600-8000</t>
  </si>
  <si>
    <t>Suarez</t>
  </si>
  <si>
    <t>(831)224-6761</t>
  </si>
  <si>
    <t>Keightlyn</t>
  </si>
  <si>
    <t>Whitner</t>
  </si>
  <si>
    <t>(408)789-6711</t>
  </si>
  <si>
    <t>Cinthia</t>
  </si>
  <si>
    <t>Solano</t>
  </si>
  <si>
    <t>(619)226-3711</t>
  </si>
  <si>
    <t>Christina</t>
  </si>
  <si>
    <t>Ramirez</t>
  </si>
  <si>
    <t>(408)500-8787</t>
  </si>
  <si>
    <t>Sarah</t>
  </si>
  <si>
    <t>Smith</t>
  </si>
  <si>
    <t>(619)400-5050</t>
  </si>
  <si>
    <t>Elizabeth</t>
  </si>
  <si>
    <t>White</t>
  </si>
  <si>
    <t>(408)353-6767</t>
  </si>
  <si>
    <t>Shaileen</t>
  </si>
  <si>
    <t>Brooks</t>
  </si>
  <si>
    <t>(408)302-2222</t>
  </si>
  <si>
    <t>Service</t>
  </si>
  <si>
    <t>Price</t>
  </si>
  <si>
    <t>Hands</t>
  </si>
  <si>
    <t>Basic Manicure</t>
  </si>
  <si>
    <t>Acrylic Full Set</t>
  </si>
  <si>
    <t>Acrylic Fill</t>
  </si>
  <si>
    <t>Feet</t>
  </si>
  <si>
    <t>Basic Pedicure</t>
  </si>
  <si>
    <t>Acrylic Overlay</t>
  </si>
  <si>
    <t>Overlay Fill</t>
  </si>
  <si>
    <t>Callus Removal</t>
  </si>
  <si>
    <t>Add Ons</t>
  </si>
  <si>
    <t>Gel Polish</t>
  </si>
  <si>
    <t>Paraffin Wax Treatment</t>
  </si>
  <si>
    <t>Nail Repair</t>
  </si>
  <si>
    <t>Nail Art</t>
  </si>
  <si>
    <t>French Tip</t>
  </si>
  <si>
    <t>Hand Massage</t>
  </si>
  <si>
    <t>Foot Massage</t>
  </si>
  <si>
    <t>Removal</t>
  </si>
  <si>
    <t>Acrylic Removal</t>
  </si>
  <si>
    <t>Gel Removal</t>
  </si>
  <si>
    <t xml:space="preserve">Date: </t>
  </si>
  <si>
    <t>Invoice #</t>
  </si>
  <si>
    <t xml:space="preserve">Member: </t>
  </si>
  <si>
    <t xml:space="preserve">Tech: </t>
  </si>
  <si>
    <t xml:space="preserve">Service: </t>
  </si>
  <si>
    <t>Service Charge:</t>
  </si>
  <si>
    <t xml:space="preserve">Discount: </t>
  </si>
  <si>
    <t xml:space="preserve">Subtotal: </t>
  </si>
  <si>
    <t xml:space="preserve">Sales Tax: </t>
  </si>
  <si>
    <t xml:space="preserve">Total: </t>
  </si>
  <si>
    <t>Member Name</t>
  </si>
  <si>
    <t>Date</t>
  </si>
  <si>
    <t>Discount</t>
  </si>
  <si>
    <t>Total</t>
  </si>
  <si>
    <t>Nail Tech</t>
  </si>
  <si>
    <t>Invoice Analytics</t>
  </si>
  <si>
    <t xml:space="preserve">How many times each service was performed: </t>
  </si>
  <si>
    <t xml:space="preserve">Employee: </t>
  </si>
  <si>
    <t>How many services each employee performed:</t>
  </si>
  <si>
    <t xml:space="preserve">Acrylic Fill </t>
  </si>
  <si>
    <t xml:space="preserve">INVENTORY </t>
  </si>
  <si>
    <t>Max Stock</t>
  </si>
  <si>
    <t>Stock</t>
  </si>
  <si>
    <t>Beginning of Month Stock</t>
  </si>
  <si>
    <t>Remaining Stock</t>
  </si>
  <si>
    <t>Restock Time</t>
  </si>
  <si>
    <t>Hand Soap</t>
  </si>
  <si>
    <t xml:space="preserve">512 oz. | 8 64 oz. Bottles </t>
  </si>
  <si>
    <t>$120 | $15/Bottle</t>
  </si>
  <si>
    <t>Rubbing Alcohol</t>
  </si>
  <si>
    <t xml:space="preserve">192 oz. | 12 16 oz. Bottles </t>
  </si>
  <si>
    <t>$120 | $10/Bottle</t>
  </si>
  <si>
    <t>Nail File</t>
  </si>
  <si>
    <t>100 Disposable Files</t>
  </si>
  <si>
    <t>$ 10 | 0$.10/File</t>
  </si>
  <si>
    <t>Acrylic Powder</t>
  </si>
  <si>
    <t>64 oz. | 8 8 oz. Bottles</t>
  </si>
  <si>
    <t>$240 | $30/Bottle</t>
  </si>
  <si>
    <t>Acrylic Liquid</t>
  </si>
  <si>
    <t>96 oz. | 8 12 oz. Bottles</t>
  </si>
  <si>
    <t>$160 | $20/Bottle</t>
  </si>
  <si>
    <t>Base Coat</t>
  </si>
  <si>
    <t>100 ml. | 10 10 ml. Bottles</t>
  </si>
  <si>
    <t>$50 | $5/Bottle</t>
  </si>
  <si>
    <t>Top Coat</t>
  </si>
  <si>
    <t>Gel Top Coat</t>
  </si>
  <si>
    <t>Bath Soap</t>
  </si>
  <si>
    <t>512 oz. | 4 128 oz. Bottles</t>
  </si>
  <si>
    <t>$160 | $40/Bottle</t>
  </si>
  <si>
    <t>Body Lotion</t>
  </si>
  <si>
    <t>$240 | $60/Bottle</t>
  </si>
  <si>
    <t>Body Oil</t>
  </si>
  <si>
    <t>96 oz. | 6 16 oz. Bottles</t>
  </si>
  <si>
    <t>$90 | $15/Bottle</t>
  </si>
  <si>
    <t>Parrafin Wax</t>
  </si>
  <si>
    <t>6 lb. | 6 1lb. Bags</t>
  </si>
  <si>
    <t>$36 | $6/Bags</t>
  </si>
  <si>
    <t>Nail Repair Gel</t>
  </si>
  <si>
    <t>60 ml. | 5 12 ml. Bottles</t>
  </si>
  <si>
    <t>$60 | $12/Bottle</t>
  </si>
  <si>
    <t>Nail Art Sequins</t>
  </si>
  <si>
    <t>5 oz. | 5 1 oz. Bags</t>
  </si>
  <si>
    <t>$50 | $10/Bags</t>
  </si>
  <si>
    <t>Acetone</t>
  </si>
  <si>
    <t>384 oz. | 3 128 oz. Bottles</t>
  </si>
  <si>
    <t>$120 | $40/Bottle</t>
  </si>
  <si>
    <t>Cuticle Oil</t>
  </si>
  <si>
    <t>10 oz. | 10 1 oz. Bottles</t>
  </si>
  <si>
    <t>$80 | $8/Bottle</t>
  </si>
  <si>
    <t>Acrylic Nail Tips</t>
  </si>
  <si>
    <t>5,000 Tips | 5 1,000 Tip Bags</t>
  </si>
  <si>
    <t xml:space="preserve">$50 | $10/Bag </t>
  </si>
  <si>
    <t>Foot Nail File</t>
  </si>
  <si>
    <t>Supplier ID</t>
  </si>
  <si>
    <t>Supplier Name</t>
  </si>
  <si>
    <t>FAX</t>
  </si>
  <si>
    <t>State</t>
  </si>
  <si>
    <t>Product</t>
  </si>
  <si>
    <t>Area Code</t>
  </si>
  <si>
    <t>Region</t>
  </si>
  <si>
    <t>Kediyisi Cosmetics</t>
  </si>
  <si>
    <t>+13 47 234 9153</t>
  </si>
  <si>
    <t>52 55</t>
  </si>
  <si>
    <t>MX</t>
  </si>
  <si>
    <t>Shinghai Stationary</t>
  </si>
  <si>
    <t>+44 13 914 3127</t>
  </si>
  <si>
    <t>NJ</t>
  </si>
  <si>
    <t>Alibaba Boutique</t>
  </si>
  <si>
    <t>+44 91 035 6712</t>
  </si>
  <si>
    <t>DC</t>
  </si>
  <si>
    <t>Cintic Inc</t>
  </si>
  <si>
    <t>+12 90 483 6557</t>
  </si>
  <si>
    <t>CT</t>
  </si>
  <si>
    <t>Guangzhou Factory</t>
  </si>
  <si>
    <t>+14 82 937 6239</t>
  </si>
  <si>
    <t>MB</t>
  </si>
  <si>
    <t>Fujian Essentials</t>
  </si>
  <si>
    <t>+44 03 845 7283</t>
  </si>
  <si>
    <t>AL</t>
  </si>
  <si>
    <t>+19 73 592 0523</t>
  </si>
  <si>
    <t>WA</t>
  </si>
  <si>
    <t>Zhejiang Cosmetics</t>
  </si>
  <si>
    <t>+18 57 364 9305</t>
  </si>
  <si>
    <t>ME</t>
  </si>
  <si>
    <t>Tianjin Hodaf</t>
  </si>
  <si>
    <t>+44 82 759 0125</t>
  </si>
  <si>
    <t>ID</t>
  </si>
  <si>
    <t>Oyasy Inc</t>
  </si>
  <si>
    <t>+44 00 293 4678</t>
  </si>
  <si>
    <t>CA</t>
  </si>
  <si>
    <t>Nails Company</t>
  </si>
  <si>
    <t>+44 78 294 2014</t>
  </si>
  <si>
    <t>TX</t>
  </si>
  <si>
    <t>Tianmi Store</t>
  </si>
  <si>
    <t>+10 42 637 8295</t>
  </si>
  <si>
    <t>--</t>
  </si>
  <si>
    <t>Davi Beauty Tools Factory</t>
  </si>
  <si>
    <t>+44 93 458 2946</t>
  </si>
  <si>
    <t>NY</t>
  </si>
  <si>
    <t>FlorVida Merchandise</t>
  </si>
  <si>
    <t>+19 38 472 3472</t>
  </si>
  <si>
    <t>Nails Super Store</t>
  </si>
  <si>
    <t>+15 37 482 9102</t>
  </si>
  <si>
    <t>Gu Man</t>
  </si>
  <si>
    <t>+13 48 592 0472</t>
  </si>
  <si>
    <t>PA</t>
  </si>
  <si>
    <t>Astoos Stationary</t>
  </si>
  <si>
    <t>+44 92 047 2834</t>
  </si>
  <si>
    <t>OH</t>
  </si>
  <si>
    <t>Nail Art Store</t>
  </si>
  <si>
    <t>+44 91 238 5291</t>
  </si>
  <si>
    <t>IL</t>
  </si>
  <si>
    <t>MN</t>
  </si>
  <si>
    <t>IN</t>
  </si>
  <si>
    <t>LA</t>
  </si>
  <si>
    <t>ON</t>
  </si>
  <si>
    <t>MS</t>
  </si>
  <si>
    <t>GA</t>
  </si>
  <si>
    <t>MI</t>
  </si>
  <si>
    <t>BC</t>
  </si>
  <si>
    <t>FL</t>
  </si>
  <si>
    <t>MD</t>
  </si>
  <si>
    <t>NC</t>
  </si>
  <si>
    <t>WI</t>
  </si>
  <si>
    <t>KY</t>
  </si>
  <si>
    <t>VA</t>
  </si>
  <si>
    <t>DE</t>
  </si>
  <si>
    <t>CO</t>
  </si>
  <si>
    <t>WV</t>
  </si>
  <si>
    <t>SK</t>
  </si>
  <si>
    <t>WY</t>
  </si>
  <si>
    <t>NE</t>
  </si>
  <si>
    <t>MO</t>
  </si>
  <si>
    <t>KS</t>
  </si>
  <si>
    <t>IA</t>
  </si>
  <si>
    <t>MA</t>
  </si>
  <si>
    <t>VI</t>
  </si>
  <si>
    <t>UT</t>
  </si>
  <si>
    <t>RI</t>
  </si>
  <si>
    <t>AB</t>
  </si>
  <si>
    <t>OK</t>
  </si>
  <si>
    <t>MT</t>
  </si>
  <si>
    <t>QC</t>
  </si>
  <si>
    <t>TN</t>
  </si>
  <si>
    <t>OR</t>
  </si>
  <si>
    <t>AR</t>
  </si>
  <si>
    <t>AZ</t>
  </si>
  <si>
    <t>NM</t>
  </si>
  <si>
    <t>NB</t>
  </si>
  <si>
    <t>NH</t>
  </si>
  <si>
    <t>SD</t>
  </si>
  <si>
    <t>MP</t>
  </si>
  <si>
    <t>GU</t>
  </si>
  <si>
    <t>ND</t>
  </si>
  <si>
    <t>NV</t>
  </si>
  <si>
    <t>NL</t>
  </si>
  <si>
    <t>NS</t>
  </si>
  <si>
    <t>PR</t>
  </si>
  <si>
    <t>VT</t>
  </si>
  <si>
    <t>SC</t>
  </si>
  <si>
    <t>HI</t>
  </si>
  <si>
    <t>YT</t>
  </si>
  <si>
    <t>AK</t>
  </si>
  <si>
    <t>Employee Information</t>
  </si>
  <si>
    <t>Employee ID</t>
  </si>
  <si>
    <t>Employee Name</t>
  </si>
  <si>
    <t>First Name</t>
  </si>
  <si>
    <t>Last Name</t>
  </si>
  <si>
    <t>Birthday?</t>
  </si>
  <si>
    <t>Date Employed</t>
  </si>
  <si>
    <t>Years of Service</t>
  </si>
  <si>
    <t>Early Retirement Date</t>
  </si>
  <si>
    <t>Jason Johnson</t>
  </si>
  <si>
    <t>Teresa Flores</t>
  </si>
  <si>
    <t>Samantha Rose</t>
  </si>
  <si>
    <t>Trisha Jones</t>
  </si>
  <si>
    <t>Jesse Lima</t>
  </si>
  <si>
    <t>Sarah Ferra</t>
  </si>
  <si>
    <t>Type</t>
  </si>
  <si>
    <t>Salary</t>
  </si>
  <si>
    <t xml:space="preserve">Total Hours Worked </t>
  </si>
  <si>
    <t>Total Pay</t>
  </si>
  <si>
    <t>Paid Time Off</t>
  </si>
  <si>
    <t>Full-time</t>
  </si>
  <si>
    <t>Part-time</t>
  </si>
  <si>
    <t>Business Analytics Dashboard</t>
  </si>
  <si>
    <t>Total Hours Worked</t>
  </si>
  <si>
    <t>Products</t>
  </si>
  <si>
    <t xml:space="preserve"> </t>
  </si>
  <si>
    <t>Total Labor Hours</t>
  </si>
  <si>
    <t>Total Labor Expenses</t>
  </si>
  <si>
    <t>Row Labels</t>
  </si>
  <si>
    <t>Grand Total</t>
  </si>
  <si>
    <t>Sum of Stock</t>
  </si>
  <si>
    <t>Sum of Remaining Stock2</t>
  </si>
  <si>
    <t>This page will show you all services currently offered at Elite Nails and their prices.</t>
  </si>
  <si>
    <t xml:space="preserve">Customers can sign up to become a member of Elite Nails to receive discounts. </t>
  </si>
  <si>
    <t xml:space="preserve">During checkout, open the invoice tab to create a reciept </t>
  </si>
  <si>
    <t>This tab shows all past transactions.</t>
  </si>
  <si>
    <t>The dashboard shows various analytics, such as which employee worked the most.</t>
  </si>
  <si>
    <r>
      <t>Inventory</t>
    </r>
    <r>
      <rPr>
        <i/>
        <sz val="11"/>
        <color theme="1"/>
        <rFont val="Calibri"/>
        <family val="2"/>
        <scheme val="minor"/>
      </rPr>
      <t xml:space="preserve"> </t>
    </r>
  </si>
  <si>
    <r>
      <t>Suppliers</t>
    </r>
    <r>
      <rPr>
        <sz val="11"/>
        <color theme="1"/>
        <rFont val="Calibri"/>
        <family val="2"/>
        <scheme val="minor"/>
      </rPr>
      <t xml:space="preserve"> </t>
    </r>
  </si>
  <si>
    <t># of Services</t>
  </si>
  <si>
    <t>Wendy Yang</t>
  </si>
  <si>
    <t>Hands:</t>
  </si>
  <si>
    <t>Feet:</t>
  </si>
  <si>
    <t>Removals:</t>
  </si>
  <si>
    <t>Karina Mendoza</t>
  </si>
  <si>
    <t xml:space="preserve">Add Ons: </t>
  </si>
  <si>
    <t>Add ons</t>
  </si>
  <si>
    <t>Removals</t>
  </si>
  <si>
    <t>Cost for Hands</t>
  </si>
  <si>
    <t>Cost for Feet</t>
  </si>
  <si>
    <t>Cost for Add Ons</t>
  </si>
  <si>
    <t>Cost for Removals</t>
  </si>
  <si>
    <t>Gel Nails</t>
  </si>
  <si>
    <t/>
  </si>
  <si>
    <t>Brenda</t>
  </si>
  <si>
    <t>Sitem</t>
  </si>
  <si>
    <t>Oswaldo</t>
  </si>
  <si>
    <t>Shwadhin</t>
  </si>
  <si>
    <t>USERS</t>
  </si>
  <si>
    <t>No</t>
  </si>
  <si>
    <t>Yes</t>
  </si>
  <si>
    <t>Employee Full Name</t>
  </si>
  <si>
    <t>Leslie Suarez</t>
  </si>
  <si>
    <t>Monica  Galindo</t>
  </si>
  <si>
    <t>Sarah Smith</t>
  </si>
  <si>
    <t>Shaileen Brooks</t>
  </si>
  <si>
    <t>INVENTORY + SUPPLIERS</t>
  </si>
  <si>
    <t>TRANSACTIONS</t>
  </si>
  <si>
    <t>Employees</t>
  </si>
  <si>
    <t>Labor</t>
  </si>
  <si>
    <t>Labor Information</t>
  </si>
  <si>
    <t>Suppliers Information</t>
  </si>
  <si>
    <t>Foshan Import</t>
  </si>
  <si>
    <t>Remaining Stock2</t>
  </si>
  <si>
    <t>Count of Member Name</t>
  </si>
  <si>
    <t>Count of Nail Tech</t>
  </si>
  <si>
    <t>Sum of Total</t>
  </si>
  <si>
    <t>Jeffrey Sanchez</t>
  </si>
  <si>
    <t>0%</t>
  </si>
  <si>
    <t>(blank)</t>
  </si>
  <si>
    <t>Jessica Hacinto</t>
  </si>
  <si>
    <t>10%</t>
  </si>
  <si>
    <t>Denise Fernandez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</si>
</sst>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lt;=9999999]###\-####;\(###\)\ ###\-####"/>
    <numFmt numFmtId="165" formatCode="&quot;$&quot;#,##0.00"/>
    <numFmt numFmtId="166" formatCode="[$-F400]h:mm:ss\ AM/PM"/>
  </numFmts>
  <fonts count="18" x14ac:knownFonts="1">
    <font>
      <sz val="11"/>
      <color theme="1"/>
      <name val="Calibri"/>
      <family val="2"/>
      <scheme val="minor"/>
    </font>
    <font>
      <b/>
      <sz val="11"/>
      <color theme="1"/>
      <name val="Calibri"/>
      <family val="2"/>
      <scheme val="minor"/>
    </font>
    <font>
      <b/>
      <sz val="14"/>
      <color theme="1"/>
      <name val="Calibri"/>
      <family val="2"/>
      <scheme val="minor"/>
    </font>
    <font>
      <b/>
      <sz val="11"/>
      <color rgb="FF000000"/>
      <name val="Calibri"/>
      <family val="2"/>
    </font>
    <font>
      <sz val="11"/>
      <color theme="1"/>
      <name val="Calibri"/>
      <family val="2"/>
    </font>
    <font>
      <b/>
      <sz val="11"/>
      <color theme="1"/>
      <name val="Calibri"/>
      <family val="2"/>
    </font>
    <font>
      <b/>
      <sz val="18"/>
      <color theme="1"/>
      <name val="Calibri"/>
      <family val="2"/>
      <scheme val="minor"/>
    </font>
    <font>
      <sz val="11"/>
      <color rgb="FF030303"/>
      <name val="Calibri"/>
      <family val="2"/>
    </font>
    <font>
      <sz val="11"/>
      <color rgb="FF000000"/>
      <name val="Calibri"/>
      <family val="2"/>
    </font>
    <font>
      <b/>
      <sz val="12"/>
      <color theme="1"/>
      <name val="Calibri"/>
      <family val="2"/>
      <scheme val="minor"/>
    </font>
    <font>
      <sz val="14"/>
      <color theme="1"/>
      <name val="Calibri"/>
      <family val="2"/>
    </font>
    <font>
      <i/>
      <sz val="11"/>
      <color theme="1"/>
      <name val="Calibri"/>
      <family val="2"/>
      <scheme val="minor"/>
    </font>
    <font>
      <sz val="14"/>
      <color theme="1"/>
      <name val="Calibri"/>
      <family val="2"/>
      <scheme val="minor"/>
    </font>
    <font>
      <sz val="14"/>
      <name val="Calibri"/>
      <family val="2"/>
    </font>
    <font>
      <sz val="11"/>
      <color theme="1"/>
      <name val="Calibri"/>
      <family val="2"/>
      <scheme val="minor"/>
    </font>
    <font>
      <b/>
      <sz val="11"/>
      <name val="Calibri"/>
      <family val="2"/>
      <scheme val="minor"/>
    </font>
    <font>
      <b/>
      <sz val="11"/>
      <name val="Calibri"/>
      <family val="2"/>
    </font>
    <font>
      <i/>
      <sz val="30"/>
      <color theme="1"/>
      <name val="Century Gothic"/>
      <family val="2"/>
    </font>
  </fonts>
  <fills count="8">
    <fill>
      <patternFill patternType="none"/>
    </fill>
    <fill>
      <patternFill patternType="gray125"/>
    </fill>
    <fill>
      <patternFill patternType="solid">
        <fgColor rgb="FFD9E1F2"/>
        <bgColor indexed="64"/>
      </patternFill>
    </fill>
    <fill>
      <patternFill patternType="solid">
        <fgColor rgb="FFAAB8E0"/>
        <bgColor indexed="64"/>
      </patternFill>
    </fill>
    <fill>
      <patternFill patternType="solid">
        <fgColor rgb="FFD3DBE3"/>
        <bgColor indexed="64"/>
      </patternFill>
    </fill>
    <fill>
      <patternFill patternType="solid">
        <fgColor rgb="FFD6AAC4"/>
        <bgColor indexed="64"/>
      </patternFill>
    </fill>
    <fill>
      <patternFill patternType="solid">
        <fgColor rgb="FFE3D3DC"/>
        <bgColor indexed="64"/>
      </patternFill>
    </fill>
    <fill>
      <patternFill patternType="solid">
        <fgColor rgb="FFFFCCFF"/>
        <bgColor indexed="64"/>
      </patternFill>
    </fill>
  </fills>
  <borders count="45">
    <border>
      <left/>
      <right/>
      <top/>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indexed="64"/>
      </left>
      <right style="thin">
        <color rgb="FF000000"/>
      </right>
      <top style="medium">
        <color indexed="64"/>
      </top>
      <bottom style="medium">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medium">
        <color indexed="64"/>
      </right>
      <top style="medium">
        <color indexed="64"/>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rgb="FF000000"/>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44" fontId="14" fillId="0" borderId="0" applyFont="0" applyFill="0" applyBorder="0" applyAlignment="0" applyProtection="0"/>
    <xf numFmtId="9" fontId="14" fillId="0" borderId="0" applyFont="0" applyFill="0" applyBorder="0" applyAlignment="0" applyProtection="0"/>
  </cellStyleXfs>
  <cellXfs count="238">
    <xf numFmtId="0" fontId="0" fillId="0" borderId="0" xfId="0"/>
    <xf numFmtId="0" fontId="1" fillId="0" borderId="0" xfId="0" applyFont="1" applyAlignment="1">
      <alignment horizontal="center"/>
    </xf>
    <xf numFmtId="0" fontId="2" fillId="0" borderId="0" xfId="0" applyFont="1"/>
    <xf numFmtId="14" fontId="0" fillId="0" borderId="0" xfId="0" applyNumberFormat="1"/>
    <xf numFmtId="164" fontId="0" fillId="0" borderId="0" xfId="0" applyNumberFormat="1"/>
    <xf numFmtId="2" fontId="0" fillId="0" borderId="0" xfId="0" applyNumberFormat="1"/>
    <xf numFmtId="1" fontId="0" fillId="0" borderId="0" xfId="0" applyNumberFormat="1"/>
    <xf numFmtId="0" fontId="4" fillId="0" borderId="0" xfId="0" applyFont="1" applyBorder="1"/>
    <xf numFmtId="0" fontId="5" fillId="2" borderId="0" xfId="0" applyFont="1" applyFill="1" applyBorder="1" applyAlignment="1">
      <alignment horizontal="center"/>
    </xf>
    <xf numFmtId="0" fontId="4" fillId="0" borderId="0" xfId="0" applyFont="1" applyBorder="1" applyAlignment="1">
      <alignment horizontal="right"/>
    </xf>
    <xf numFmtId="0" fontId="4" fillId="0" borderId="0" xfId="0" applyFont="1" applyBorder="1" applyAlignment="1"/>
    <xf numFmtId="0" fontId="4" fillId="0" borderId="0" xfId="0" quotePrefix="1" applyFont="1" applyBorder="1" applyAlignment="1"/>
    <xf numFmtId="0" fontId="6" fillId="0" borderId="0" xfId="0" applyFont="1" applyAlignment="1">
      <alignment horizontal="right"/>
    </xf>
    <xf numFmtId="164" fontId="0" fillId="0" borderId="0" xfId="0" applyNumberFormat="1" applyAlignment="1"/>
    <xf numFmtId="0" fontId="4" fillId="0" borderId="0" xfId="0" applyFont="1" applyAlignment="1">
      <alignment horizontal="center" vertical="center"/>
    </xf>
    <xf numFmtId="0" fontId="4" fillId="0" borderId="0" xfId="0" applyFont="1"/>
    <xf numFmtId="0" fontId="0" fillId="0" borderId="0" xfId="0" applyBorder="1"/>
    <xf numFmtId="0" fontId="0" fillId="0" borderId="0" xfId="0" applyAlignment="1">
      <alignment wrapText="1"/>
    </xf>
    <xf numFmtId="0" fontId="0" fillId="0" borderId="0" xfId="0" applyAlignment="1">
      <alignment horizontal="left"/>
    </xf>
    <xf numFmtId="6" fontId="0" fillId="0" borderId="0" xfId="0" applyNumberFormat="1"/>
    <xf numFmtId="0" fontId="1" fillId="3" borderId="2" xfId="0" applyFont="1" applyFill="1" applyBorder="1"/>
    <xf numFmtId="0" fontId="0" fillId="3" borderId="3" xfId="0" applyFill="1" applyBorder="1"/>
    <xf numFmtId="0" fontId="0" fillId="3" borderId="4" xfId="0" applyFill="1" applyBorder="1"/>
    <xf numFmtId="0" fontId="0" fillId="4" borderId="15" xfId="0" applyFill="1" applyBorder="1" applyAlignment="1">
      <alignment vertical="top" wrapText="1"/>
    </xf>
    <xf numFmtId="0" fontId="0" fillId="4" borderId="0" xfId="0" applyFill="1" applyBorder="1" applyAlignment="1">
      <alignment vertical="top" wrapText="1"/>
    </xf>
    <xf numFmtId="0" fontId="0" fillId="4" borderId="16" xfId="0" applyFill="1" applyBorder="1" applyAlignment="1">
      <alignment vertical="top" wrapText="1"/>
    </xf>
    <xf numFmtId="0" fontId="1" fillId="4" borderId="2" xfId="0" applyFont="1" applyFill="1" applyBorder="1"/>
    <xf numFmtId="0" fontId="0" fillId="4" borderId="3" xfId="0" applyFill="1" applyBorder="1"/>
    <xf numFmtId="0" fontId="0" fillId="4" borderId="4" xfId="0" applyFill="1" applyBorder="1"/>
    <xf numFmtId="0" fontId="0" fillId="4" borderId="7" xfId="0" applyFill="1" applyBorder="1"/>
    <xf numFmtId="0" fontId="0" fillId="4" borderId="8" xfId="0" applyFill="1" applyBorder="1"/>
    <xf numFmtId="0" fontId="0" fillId="4" borderId="9" xfId="0" applyFill="1" applyBorder="1"/>
    <xf numFmtId="0" fontId="0" fillId="4" borderId="5" xfId="0" applyFill="1" applyBorder="1" applyAlignment="1">
      <alignment horizontal="center"/>
    </xf>
    <xf numFmtId="0" fontId="9" fillId="4" borderId="0" xfId="0" applyFont="1" applyFill="1" applyBorder="1"/>
    <xf numFmtId="0" fontId="0" fillId="4" borderId="6" xfId="0" applyFill="1" applyBorder="1"/>
    <xf numFmtId="0" fontId="0" fillId="4" borderId="5" xfId="0" applyFill="1" applyBorder="1"/>
    <xf numFmtId="0" fontId="0" fillId="4" borderId="0" xfId="0" applyFill="1" applyBorder="1"/>
    <xf numFmtId="0" fontId="0" fillId="4" borderId="11" xfId="0" applyFill="1" applyBorder="1"/>
    <xf numFmtId="0" fontId="0" fillId="4" borderId="29" xfId="0" applyFill="1" applyBorder="1"/>
    <xf numFmtId="0" fontId="0" fillId="4" borderId="31" xfId="0" applyFill="1" applyBorder="1"/>
    <xf numFmtId="0" fontId="0" fillId="4" borderId="32" xfId="0" applyFill="1" applyBorder="1"/>
    <xf numFmtId="0" fontId="0" fillId="4" borderId="30" xfId="0" applyFill="1" applyBorder="1"/>
    <xf numFmtId="6" fontId="0" fillId="4" borderId="31" xfId="0" applyNumberFormat="1" applyFill="1" applyBorder="1"/>
    <xf numFmtId="0" fontId="1" fillId="5" borderId="10" xfId="0" applyFont="1" applyFill="1" applyBorder="1" applyAlignment="1">
      <alignment horizontal="center"/>
    </xf>
    <xf numFmtId="0" fontId="1" fillId="5" borderId="33"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0" fontId="1" fillId="3" borderId="34" xfId="0" applyFont="1" applyFill="1" applyBorder="1" applyAlignment="1">
      <alignment horizontal="center"/>
    </xf>
    <xf numFmtId="0" fontId="0" fillId="3" borderId="34" xfId="0" applyFill="1" applyBorder="1"/>
    <xf numFmtId="0" fontId="1" fillId="5" borderId="23" xfId="0" applyFont="1" applyFill="1" applyBorder="1" applyAlignment="1">
      <alignment horizontal="center"/>
    </xf>
    <xf numFmtId="0" fontId="0" fillId="6" borderId="23" xfId="0" applyFill="1" applyBorder="1"/>
    <xf numFmtId="0" fontId="0" fillId="6" borderId="0" xfId="0" applyFill="1"/>
    <xf numFmtId="0" fontId="2" fillId="0" borderId="0" xfId="0" applyFont="1" applyAlignment="1">
      <alignment vertical="center"/>
    </xf>
    <xf numFmtId="0" fontId="0" fillId="0" borderId="0" xfId="0" applyAlignment="1">
      <alignment vertical="center"/>
    </xf>
    <xf numFmtId="0" fontId="0" fillId="0" borderId="0" xfId="0" applyBorder="1" applyAlignment="1">
      <alignment vertical="center"/>
    </xf>
    <xf numFmtId="0" fontId="0" fillId="0" borderId="0" xfId="0" applyAlignment="1"/>
    <xf numFmtId="14" fontId="0" fillId="6" borderId="23" xfId="0" applyNumberFormat="1" applyFill="1" applyBorder="1"/>
    <xf numFmtId="0" fontId="0" fillId="5" borderId="23" xfId="0" applyFill="1" applyBorder="1"/>
    <xf numFmtId="0" fontId="0" fillId="4" borderId="23" xfId="0" applyFill="1" applyBorder="1"/>
    <xf numFmtId="0" fontId="1" fillId="5" borderId="23" xfId="0" applyFont="1" applyFill="1" applyBorder="1"/>
    <xf numFmtId="0" fontId="1" fillId="3" borderId="23" xfId="0" applyFont="1" applyFill="1" applyBorder="1"/>
    <xf numFmtId="0" fontId="1" fillId="0" borderId="0" xfId="0" applyFont="1" applyFill="1" applyBorder="1" applyAlignment="1"/>
    <xf numFmtId="0" fontId="1" fillId="5" borderId="10" xfId="0" applyFont="1" applyFill="1" applyBorder="1" applyAlignment="1">
      <alignment horizontal="center" wrapText="1"/>
    </xf>
    <xf numFmtId="0" fontId="0" fillId="4" borderId="23" xfId="0" applyFill="1" applyBorder="1" applyAlignment="1">
      <alignment horizontal="left"/>
    </xf>
    <xf numFmtId="0" fontId="0" fillId="4" borderId="23" xfId="0" applyFont="1" applyFill="1" applyBorder="1" applyAlignment="1">
      <alignment horizontal="left"/>
    </xf>
    <xf numFmtId="0" fontId="1" fillId="6" borderId="26" xfId="0" applyFont="1" applyFill="1" applyBorder="1" applyAlignment="1">
      <alignment horizontal="center"/>
    </xf>
    <xf numFmtId="0" fontId="1" fillId="6" borderId="11" xfId="0" applyFont="1" applyFill="1" applyBorder="1" applyAlignment="1">
      <alignment horizontal="left"/>
    </xf>
    <xf numFmtId="0" fontId="1" fillId="5" borderId="36" xfId="0" applyFont="1" applyFill="1" applyBorder="1" applyAlignment="1">
      <alignment horizontal="center"/>
    </xf>
    <xf numFmtId="0" fontId="1" fillId="5" borderId="37" xfId="0" applyFont="1" applyFill="1" applyBorder="1" applyAlignment="1">
      <alignment horizontal="center"/>
    </xf>
    <xf numFmtId="0" fontId="7" fillId="4" borderId="23" xfId="0" quotePrefix="1" applyFont="1" applyFill="1" applyBorder="1" applyAlignment="1">
      <alignment horizontal="center" vertical="center"/>
    </xf>
    <xf numFmtId="0" fontId="10" fillId="4" borderId="1" xfId="0" applyFont="1" applyFill="1" applyBorder="1" applyAlignment="1">
      <alignment horizontal="right"/>
    </xf>
    <xf numFmtId="0" fontId="0" fillId="4" borderId="23" xfId="0" applyFill="1" applyBorder="1" applyAlignment="1">
      <alignment horizontal="center"/>
    </xf>
    <xf numFmtId="165" fontId="0" fillId="4" borderId="23" xfId="0" applyNumberFormat="1" applyFill="1" applyBorder="1"/>
    <xf numFmtId="0" fontId="2" fillId="0" borderId="0" xfId="0" applyFont="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3" fillId="3" borderId="35" xfId="0" applyFont="1" applyFill="1" applyBorder="1" applyAlignment="1">
      <alignment horizontal="center" wrapText="1"/>
    </xf>
    <xf numFmtId="0" fontId="3" fillId="6" borderId="26" xfId="0" applyFont="1" applyFill="1" applyBorder="1" applyAlignment="1">
      <alignment horizontal="center" wrapText="1"/>
    </xf>
    <xf numFmtId="0" fontId="13" fillId="4" borderId="1" xfId="0" quotePrefix="1" applyFont="1" applyFill="1" applyBorder="1" applyAlignment="1">
      <alignment horizontal="right" wrapText="1"/>
    </xf>
    <xf numFmtId="6" fontId="0" fillId="4" borderId="23" xfId="0" applyNumberFormat="1" applyFill="1" applyBorder="1" applyAlignment="1">
      <alignment horizontal="center"/>
    </xf>
    <xf numFmtId="14" fontId="0" fillId="4" borderId="23" xfId="0" applyNumberFormat="1" applyFill="1" applyBorder="1" applyAlignment="1">
      <alignment horizontal="center"/>
    </xf>
    <xf numFmtId="2" fontId="1" fillId="4" borderId="23" xfId="0" applyNumberFormat="1" applyFont="1" applyFill="1" applyBorder="1" applyAlignment="1">
      <alignment horizontal="center"/>
    </xf>
    <xf numFmtId="165" fontId="1" fillId="4" borderId="23" xfId="0" applyNumberFormat="1" applyFont="1"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applyAlignment="1">
      <alignment horizontal="left"/>
    </xf>
    <xf numFmtId="0" fontId="0" fillId="7" borderId="0" xfId="0" applyNumberFormat="1" applyFill="1" applyBorder="1"/>
    <xf numFmtId="0" fontId="0" fillId="7" borderId="16" xfId="0" applyNumberFormat="1" applyFill="1" applyBorder="1"/>
    <xf numFmtId="0" fontId="0" fillId="7" borderId="17" xfId="0" applyFill="1" applyBorder="1" applyAlignment="1">
      <alignment horizontal="left"/>
    </xf>
    <xf numFmtId="0" fontId="0" fillId="7" borderId="18" xfId="0" applyNumberFormat="1" applyFill="1" applyBorder="1"/>
    <xf numFmtId="0" fontId="0" fillId="7" borderId="19" xfId="0" applyNumberFormat="1" applyFill="1" applyBorder="1"/>
    <xf numFmtId="0" fontId="2" fillId="0" borderId="0" xfId="0" applyFont="1" applyAlignment="1">
      <alignment horizontal="center" vertical="center"/>
    </xf>
    <xf numFmtId="0" fontId="0" fillId="6" borderId="23" xfId="0" applyFill="1" applyBorder="1" applyAlignment="1">
      <alignment horizontal="right"/>
    </xf>
    <xf numFmtId="165" fontId="0" fillId="4" borderId="31" xfId="0" applyNumberFormat="1" applyFill="1" applyBorder="1"/>
    <xf numFmtId="165" fontId="0" fillId="6" borderId="23" xfId="1" applyNumberFormat="1" applyFont="1" applyFill="1" applyBorder="1"/>
    <xf numFmtId="165" fontId="0" fillId="6" borderId="23" xfId="0" applyNumberFormat="1" applyFill="1" applyBorder="1"/>
    <xf numFmtId="165" fontId="0" fillId="6" borderId="23" xfId="0" applyNumberFormat="1" applyFill="1" applyBorder="1" applyAlignment="1">
      <alignment horizontal="right"/>
    </xf>
    <xf numFmtId="0" fontId="1" fillId="5" borderId="23" xfId="0" applyFont="1" applyFill="1" applyBorder="1" applyAlignment="1">
      <alignment horizontal="left"/>
    </xf>
    <xf numFmtId="0" fontId="2" fillId="0" borderId="0" xfId="0" applyFont="1" applyBorder="1" applyAlignment="1">
      <alignment horizontal="center" vertical="center"/>
    </xf>
    <xf numFmtId="0" fontId="0" fillId="6" borderId="23" xfId="2" applyNumberFormat="1" applyFont="1" applyFill="1" applyBorder="1" applyAlignment="1">
      <alignment horizontal="right"/>
    </xf>
    <xf numFmtId="8" fontId="0" fillId="4" borderId="23" xfId="0" applyNumberFormat="1" applyFill="1" applyBorder="1"/>
    <xf numFmtId="9" fontId="0" fillId="4" borderId="23" xfId="2" applyFont="1" applyFill="1" applyBorder="1" applyAlignment="1">
      <alignment horizontal="center"/>
    </xf>
    <xf numFmtId="0" fontId="1" fillId="6" borderId="0" xfId="0" applyFont="1" applyFill="1" applyBorder="1" applyAlignment="1">
      <alignment horizontal="left"/>
    </xf>
    <xf numFmtId="0" fontId="1" fillId="5" borderId="38" xfId="0" applyFont="1" applyFill="1" applyBorder="1" applyAlignment="1">
      <alignment horizontal="center" wrapText="1"/>
    </xf>
    <xf numFmtId="0" fontId="0" fillId="4" borderId="39" xfId="0" applyFill="1" applyBorder="1" applyAlignment="1">
      <alignment horizontal="left"/>
    </xf>
    <xf numFmtId="0" fontId="3" fillId="6" borderId="0" xfId="0" applyFont="1" applyFill="1" applyBorder="1" applyAlignment="1">
      <alignment horizontal="left" wrapText="1"/>
    </xf>
    <xf numFmtId="0" fontId="1" fillId="5" borderId="23" xfId="0" applyFont="1" applyFill="1" applyBorder="1" applyAlignment="1">
      <alignment horizontal="center" wrapText="1"/>
    </xf>
    <xf numFmtId="9" fontId="0" fillId="4" borderId="23" xfId="2" applyNumberFormat="1" applyFont="1" applyFill="1" applyBorder="1" applyAlignment="1">
      <alignment horizontal="center"/>
    </xf>
    <xf numFmtId="164" fontId="0" fillId="4" borderId="23" xfId="0" applyNumberFormat="1" applyFill="1" applyBorder="1" applyAlignment="1">
      <alignment horizontal="center"/>
    </xf>
    <xf numFmtId="0" fontId="8" fillId="4" borderId="23" xfId="0" quotePrefix="1" applyFont="1" applyFill="1" applyBorder="1" applyAlignment="1">
      <alignment horizontal="center" wrapText="1"/>
    </xf>
    <xf numFmtId="2" fontId="0" fillId="4" borderId="23" xfId="0" applyNumberFormat="1" applyFill="1" applyBorder="1" applyAlignment="1">
      <alignment horizontal="center"/>
    </xf>
    <xf numFmtId="165" fontId="0" fillId="4" borderId="23" xfId="0" applyNumberFormat="1" applyFill="1" applyBorder="1" applyAlignment="1">
      <alignment horizontal="center"/>
    </xf>
    <xf numFmtId="1" fontId="0" fillId="4" borderId="23" xfId="0" applyNumberFormat="1" applyFill="1" applyBorder="1" applyAlignment="1">
      <alignment horizontal="center"/>
    </xf>
    <xf numFmtId="0" fontId="0" fillId="4" borderId="40" xfId="0" applyFill="1" applyBorder="1" applyAlignment="1">
      <alignment horizontal="right"/>
    </xf>
    <xf numFmtId="0" fontId="0" fillId="4" borderId="39" xfId="0" applyFill="1" applyBorder="1"/>
    <xf numFmtId="0" fontId="0" fillId="4" borderId="25" xfId="0" applyFill="1" applyBorder="1" applyAlignment="1">
      <alignment horizontal="right"/>
    </xf>
    <xf numFmtId="164" fontId="0" fillId="4" borderId="30" xfId="0" applyNumberFormat="1" applyFill="1" applyBorder="1" applyAlignment="1">
      <alignment horizontal="center"/>
    </xf>
    <xf numFmtId="0" fontId="8" fillId="4" borderId="30" xfId="0" quotePrefix="1" applyFont="1" applyFill="1" applyBorder="1" applyAlignment="1">
      <alignment horizontal="center" wrapText="1"/>
    </xf>
    <xf numFmtId="0" fontId="7" fillId="4" borderId="30" xfId="0" quotePrefix="1" applyFont="1" applyFill="1" applyBorder="1" applyAlignment="1">
      <alignment horizontal="center" vertical="center"/>
    </xf>
    <xf numFmtId="0" fontId="0" fillId="4" borderId="24" xfId="0" applyFill="1" applyBorder="1"/>
    <xf numFmtId="0" fontId="0" fillId="4" borderId="30" xfId="0" applyFill="1" applyBorder="1" applyAlignment="1">
      <alignment horizontal="left"/>
    </xf>
    <xf numFmtId="0" fontId="0" fillId="4" borderId="30" xfId="0" applyFill="1" applyBorder="1" applyAlignment="1">
      <alignment horizontal="center"/>
    </xf>
    <xf numFmtId="0" fontId="0" fillId="4" borderId="24" xfId="0" applyFont="1" applyFill="1" applyBorder="1" applyAlignment="1">
      <alignment horizontal="right"/>
    </xf>
    <xf numFmtId="0" fontId="0" fillId="4" borderId="24" xfId="0" applyFont="1" applyFill="1" applyBorder="1" applyAlignment="1">
      <alignment horizontal="left"/>
    </xf>
    <xf numFmtId="0" fontId="0" fillId="4" borderId="24" xfId="0" applyFont="1" applyFill="1" applyBorder="1"/>
    <xf numFmtId="0" fontId="0" fillId="4" borderId="24" xfId="0" applyFont="1" applyFill="1" applyBorder="1" applyAlignment="1">
      <alignment horizontal="center"/>
    </xf>
    <xf numFmtId="6" fontId="0" fillId="4" borderId="24" xfId="0" applyNumberFormat="1" applyFont="1" applyFill="1" applyBorder="1" applyAlignment="1">
      <alignment horizontal="center"/>
    </xf>
    <xf numFmtId="0" fontId="0" fillId="4" borderId="40" xfId="0" applyFill="1" applyBorder="1" applyAlignment="1">
      <alignment horizontal="left"/>
    </xf>
    <xf numFmtId="9" fontId="0" fillId="4" borderId="39" xfId="2" applyFont="1" applyFill="1" applyBorder="1" applyAlignment="1">
      <alignment horizontal="center"/>
    </xf>
    <xf numFmtId="0" fontId="0" fillId="4" borderId="25" xfId="0" applyFill="1" applyBorder="1" applyAlignment="1">
      <alignment horizontal="left"/>
    </xf>
    <xf numFmtId="14" fontId="0" fillId="4" borderId="30" xfId="0" applyNumberFormat="1" applyFill="1" applyBorder="1" applyAlignment="1">
      <alignment horizontal="center"/>
    </xf>
    <xf numFmtId="9" fontId="0" fillId="4" borderId="24" xfId="2" applyFont="1" applyFill="1" applyBorder="1" applyAlignment="1">
      <alignment horizontal="center"/>
    </xf>
    <xf numFmtId="0" fontId="0" fillId="4" borderId="40" xfId="0" applyFill="1" applyBorder="1"/>
    <xf numFmtId="0" fontId="0" fillId="4" borderId="25" xfId="0" applyFill="1" applyBorder="1"/>
    <xf numFmtId="9" fontId="0" fillId="4" borderId="30" xfId="2" applyFont="1" applyFill="1" applyBorder="1" applyAlignment="1">
      <alignment horizontal="center"/>
    </xf>
    <xf numFmtId="8" fontId="0" fillId="4" borderId="30" xfId="0" applyNumberFormat="1" applyFill="1" applyBorder="1"/>
    <xf numFmtId="0" fontId="0" fillId="4" borderId="41" xfId="0" applyFont="1" applyFill="1" applyBorder="1" applyAlignment="1">
      <alignment horizontal="right"/>
    </xf>
    <xf numFmtId="0" fontId="15" fillId="5" borderId="11" xfId="0" applyFont="1" applyFill="1" applyBorder="1" applyAlignment="1">
      <alignment horizontal="center"/>
    </xf>
    <xf numFmtId="0" fontId="15" fillId="5" borderId="31" xfId="0" applyFont="1" applyFill="1" applyBorder="1" applyAlignment="1">
      <alignment horizontal="center"/>
    </xf>
    <xf numFmtId="0" fontId="15" fillId="5" borderId="26" xfId="0" applyFont="1" applyFill="1" applyBorder="1" applyAlignment="1">
      <alignment horizontal="center"/>
    </xf>
    <xf numFmtId="0" fontId="15" fillId="5" borderId="29" xfId="0" applyFont="1" applyFill="1" applyBorder="1" applyAlignment="1">
      <alignment horizontal="center"/>
    </xf>
    <xf numFmtId="0" fontId="15" fillId="5" borderId="32" xfId="0" applyFont="1" applyFill="1" applyBorder="1" applyAlignment="1">
      <alignment horizontal="center"/>
    </xf>
    <xf numFmtId="0" fontId="15" fillId="5" borderId="27" xfId="0" applyFont="1" applyFill="1" applyBorder="1" applyAlignment="1">
      <alignment horizontal="center"/>
    </xf>
    <xf numFmtId="0" fontId="15" fillId="5" borderId="0" xfId="0" applyFont="1" applyFill="1" applyBorder="1" applyAlignment="1">
      <alignment horizontal="center"/>
    </xf>
    <xf numFmtId="0" fontId="16" fillId="5" borderId="26" xfId="0" applyFont="1" applyFill="1" applyBorder="1" applyAlignment="1">
      <alignment horizontal="center" wrapText="1"/>
    </xf>
    <xf numFmtId="164" fontId="15" fillId="5" borderId="32" xfId="0" applyNumberFormat="1" applyFont="1" applyFill="1" applyBorder="1" applyAlignment="1">
      <alignment horizontal="center"/>
    </xf>
    <xf numFmtId="1" fontId="15" fillId="5" borderId="32" xfId="0" applyNumberFormat="1" applyFont="1" applyFill="1" applyBorder="1" applyAlignment="1">
      <alignment horizontal="center"/>
    </xf>
    <xf numFmtId="0" fontId="16" fillId="5" borderId="32" xfId="0" applyFont="1" applyFill="1" applyBorder="1" applyAlignment="1">
      <alignment horizontal="center" vertical="center"/>
    </xf>
    <xf numFmtId="14" fontId="0" fillId="4" borderId="39" xfId="0" applyNumberFormat="1" applyFill="1" applyBorder="1" applyAlignment="1">
      <alignment horizontal="center"/>
    </xf>
    <xf numFmtId="2" fontId="0" fillId="4" borderId="30" xfId="0" applyNumberFormat="1" applyFill="1" applyBorder="1" applyAlignment="1">
      <alignment horizontal="center"/>
    </xf>
    <xf numFmtId="14" fontId="0" fillId="4" borderId="24" xfId="0" applyNumberFormat="1" applyFill="1" applyBorder="1" applyAlignment="1">
      <alignment horizontal="center"/>
    </xf>
    <xf numFmtId="14" fontId="15" fillId="5" borderId="32" xfId="0" applyNumberFormat="1" applyFont="1" applyFill="1" applyBorder="1" applyAlignment="1">
      <alignment horizontal="center"/>
    </xf>
    <xf numFmtId="2" fontId="15" fillId="5" borderId="32" xfId="0" applyNumberFormat="1" applyFont="1" applyFill="1" applyBorder="1" applyAlignment="1">
      <alignment horizontal="center"/>
    </xf>
    <xf numFmtId="0" fontId="0" fillId="4" borderId="39" xfId="0" applyFill="1" applyBorder="1" applyAlignment="1">
      <alignment horizontal="center"/>
    </xf>
    <xf numFmtId="165" fontId="0" fillId="4" borderId="30" xfId="0" applyNumberFormat="1" applyFill="1" applyBorder="1" applyAlignment="1">
      <alignment horizontal="center"/>
    </xf>
    <xf numFmtId="1" fontId="0" fillId="4" borderId="30" xfId="0" applyNumberFormat="1" applyFill="1" applyBorder="1" applyAlignment="1">
      <alignment horizontal="center"/>
    </xf>
    <xf numFmtId="0" fontId="0" fillId="4" borderId="24" xfId="0" applyFill="1" applyBorder="1" applyAlignment="1">
      <alignment horizontal="center"/>
    </xf>
    <xf numFmtId="0" fontId="12" fillId="4" borderId="1" xfId="0" applyFont="1" applyFill="1" applyBorder="1" applyAlignment="1">
      <alignment horizontal="right"/>
    </xf>
    <xf numFmtId="22" fontId="0" fillId="0" borderId="0" xfId="0" applyNumberFormat="1"/>
    <xf numFmtId="0" fontId="0" fillId="3" borderId="42" xfId="0" applyFill="1" applyBorder="1"/>
    <xf numFmtId="0" fontId="0" fillId="3" borderId="43" xfId="0" applyFill="1" applyBorder="1"/>
    <xf numFmtId="0" fontId="0" fillId="3" borderId="44" xfId="0" applyFill="1" applyBorder="1"/>
    <xf numFmtId="0" fontId="0" fillId="0" borderId="0" xfId="0" applyNumberFormat="1"/>
    <xf numFmtId="0" fontId="0" fillId="0" borderId="0" xfId="0" pivotButton="1"/>
    <xf numFmtId="14" fontId="0" fillId="0" borderId="0" xfId="0" applyNumberFormat="1" applyAlignment="1">
      <alignment horizontal="left"/>
    </xf>
    <xf numFmtId="14" fontId="0" fillId="4" borderId="32" xfId="0" applyNumberFormat="1" applyFill="1" applyBorder="1" applyAlignment="1">
      <alignment horizontal="center"/>
    </xf>
    <xf numFmtId="6" fontId="0" fillId="4" borderId="32" xfId="0" applyNumberFormat="1" applyFill="1" applyBorder="1" applyAlignment="1">
      <alignment horizontal="center"/>
    </xf>
    <xf numFmtId="9" fontId="0" fillId="4" borderId="32" xfId="2" applyNumberFormat="1" applyFont="1" applyFill="1" applyBorder="1" applyAlignment="1">
      <alignment horizontal="center"/>
    </xf>
    <xf numFmtId="8" fontId="0" fillId="4" borderId="32" xfId="0" applyNumberFormat="1" applyFill="1" applyBorder="1"/>
    <xf numFmtId="0" fontId="0" fillId="4" borderId="27" xfId="0" applyFill="1" applyBorder="1"/>
    <xf numFmtId="0" fontId="1" fillId="5" borderId="20" xfId="0" applyFont="1" applyFill="1" applyBorder="1" applyAlignment="1">
      <alignment horizontal="center"/>
    </xf>
    <xf numFmtId="0" fontId="1" fillId="5" borderId="21" xfId="0" applyFont="1" applyFill="1" applyBorder="1" applyAlignment="1">
      <alignment horizontal="center"/>
    </xf>
    <xf numFmtId="0" fontId="1" fillId="5" borderId="22" xfId="0" applyFont="1" applyFill="1" applyBorder="1" applyAlignment="1">
      <alignment horizontal="center"/>
    </xf>
    <xf numFmtId="0" fontId="0" fillId="0" borderId="0" xfId="0" applyAlignment="1">
      <alignment horizontal="center"/>
    </xf>
    <xf numFmtId="0" fontId="1" fillId="4" borderId="12" xfId="0" applyFont="1"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11" fillId="4" borderId="15" xfId="0" applyFont="1" applyFill="1" applyBorder="1" applyAlignment="1">
      <alignment horizontal="center" vertical="top" wrapText="1"/>
    </xf>
    <xf numFmtId="0" fontId="11" fillId="4" borderId="0" xfId="0" applyFont="1" applyFill="1" applyBorder="1" applyAlignment="1">
      <alignment horizontal="center" vertical="top" wrapText="1"/>
    </xf>
    <xf numFmtId="0" fontId="11" fillId="4" borderId="16" xfId="0" applyFont="1" applyFill="1" applyBorder="1" applyAlignment="1">
      <alignment horizontal="center" vertical="top" wrapText="1"/>
    </xf>
    <xf numFmtId="0" fontId="11" fillId="4" borderId="17" xfId="0" applyFont="1" applyFill="1" applyBorder="1" applyAlignment="1">
      <alignment horizontal="center" vertical="top" wrapText="1"/>
    </xf>
    <xf numFmtId="0" fontId="11" fillId="4" borderId="18" xfId="0" applyFont="1" applyFill="1" applyBorder="1" applyAlignment="1">
      <alignment horizontal="center" vertical="top" wrapText="1"/>
    </xf>
    <xf numFmtId="0" fontId="11" fillId="4" borderId="19" xfId="0" applyFont="1" applyFill="1" applyBorder="1" applyAlignment="1">
      <alignment horizontal="center" vertical="top" wrapText="1"/>
    </xf>
    <xf numFmtId="0" fontId="0" fillId="5" borderId="21" xfId="0" applyFill="1" applyBorder="1" applyAlignment="1">
      <alignment horizontal="center"/>
    </xf>
    <xf numFmtId="0" fontId="0" fillId="5" borderId="22" xfId="0" applyFill="1" applyBorder="1" applyAlignment="1">
      <alignment horizontal="center"/>
    </xf>
    <xf numFmtId="0" fontId="0" fillId="4" borderId="26" xfId="0" applyFill="1" applyBorder="1" applyAlignment="1">
      <alignment horizontal="center" wrapText="1"/>
    </xf>
    <xf numFmtId="0" fontId="0" fillId="4" borderId="11" xfId="0" applyFill="1" applyBorder="1" applyAlignment="1">
      <alignment horizontal="center" wrapText="1"/>
    </xf>
    <xf numFmtId="0" fontId="0" fillId="4" borderId="27" xfId="0" applyFill="1" applyBorder="1" applyAlignment="1">
      <alignment horizontal="center" wrapText="1"/>
    </xf>
    <xf numFmtId="0" fontId="0" fillId="4" borderId="29" xfId="0" applyFill="1" applyBorder="1" applyAlignment="1">
      <alignment horizontal="center" wrapText="1"/>
    </xf>
    <xf numFmtId="166" fontId="17" fillId="5" borderId="12" xfId="0" applyNumberFormat="1" applyFont="1" applyFill="1" applyBorder="1" applyAlignment="1">
      <alignment horizontal="center" vertical="center"/>
    </xf>
    <xf numFmtId="166" fontId="17" fillId="5" borderId="13" xfId="0" applyNumberFormat="1" applyFont="1" applyFill="1" applyBorder="1" applyAlignment="1">
      <alignment horizontal="center" vertical="center"/>
    </xf>
    <xf numFmtId="166" fontId="17" fillId="5" borderId="14" xfId="0" applyNumberFormat="1" applyFont="1" applyFill="1" applyBorder="1" applyAlignment="1">
      <alignment horizontal="center" vertical="center"/>
    </xf>
    <xf numFmtId="166" fontId="17" fillId="5" borderId="15" xfId="0" applyNumberFormat="1" applyFont="1" applyFill="1" applyBorder="1" applyAlignment="1">
      <alignment horizontal="center" vertical="center"/>
    </xf>
    <xf numFmtId="166" fontId="17" fillId="5" borderId="0" xfId="0" applyNumberFormat="1" applyFont="1" applyFill="1" applyBorder="1" applyAlignment="1">
      <alignment horizontal="center" vertical="center"/>
    </xf>
    <xf numFmtId="166" fontId="17" fillId="5" borderId="16" xfId="0" applyNumberFormat="1" applyFont="1" applyFill="1" applyBorder="1" applyAlignment="1">
      <alignment horizontal="center" vertical="center"/>
    </xf>
    <xf numFmtId="166" fontId="17" fillId="5" borderId="17" xfId="0" applyNumberFormat="1" applyFont="1" applyFill="1" applyBorder="1" applyAlignment="1">
      <alignment horizontal="center" vertical="center"/>
    </xf>
    <xf numFmtId="166" fontId="17" fillId="5" borderId="18" xfId="0" applyNumberFormat="1" applyFont="1" applyFill="1" applyBorder="1" applyAlignment="1">
      <alignment horizontal="center" vertical="center"/>
    </xf>
    <xf numFmtId="166" fontId="17" fillId="5" borderId="19" xfId="0" applyNumberFormat="1" applyFont="1" applyFill="1" applyBorder="1" applyAlignment="1">
      <alignment horizontal="center" vertical="center"/>
    </xf>
    <xf numFmtId="0" fontId="0" fillId="4" borderId="24" xfId="0" applyFont="1" applyFill="1" applyBorder="1" applyAlignment="1">
      <alignment horizontal="center" vertical="center" wrapText="1"/>
    </xf>
    <xf numFmtId="0" fontId="0" fillId="4" borderId="25" xfId="0" applyFont="1" applyFill="1" applyBorder="1" applyAlignment="1">
      <alignment horizontal="center" vertical="center" wrapText="1"/>
    </xf>
    <xf numFmtId="0" fontId="0" fillId="4" borderId="27" xfId="0" applyFont="1" applyFill="1" applyBorder="1" applyAlignment="1">
      <alignment horizontal="center" vertical="center" wrapText="1"/>
    </xf>
    <xf numFmtId="0" fontId="0" fillId="4" borderId="29" xfId="0" applyFont="1" applyFill="1" applyBorder="1" applyAlignment="1">
      <alignment horizontal="center" vertical="center" wrapText="1"/>
    </xf>
    <xf numFmtId="0" fontId="0" fillId="4" borderId="26"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28" xfId="0" applyFont="1" applyFill="1" applyBorder="1" applyAlignment="1">
      <alignment horizontal="center" vertical="center" wrapText="1"/>
    </xf>
    <xf numFmtId="0" fontId="0" fillId="4" borderId="0" xfId="0" applyFill="1" applyBorder="1" applyAlignment="1">
      <alignment horizontal="center" wrapText="1"/>
    </xf>
    <xf numFmtId="0" fontId="0" fillId="4" borderId="28" xfId="0" applyFill="1" applyBorder="1" applyAlignment="1">
      <alignment horizontal="center" wrapText="1"/>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27" xfId="0" applyFill="1" applyBorder="1" applyAlignment="1">
      <alignment horizontal="center"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26" xfId="0" applyFill="1" applyBorder="1" applyAlignment="1">
      <alignment horizontal="center" vertical="center"/>
    </xf>
    <xf numFmtId="0" fontId="0" fillId="4" borderId="11" xfId="0" applyFill="1" applyBorder="1" applyAlignment="1">
      <alignment horizontal="center" vertical="center"/>
    </xf>
    <xf numFmtId="0" fontId="0" fillId="4" borderId="27" xfId="0" applyFill="1" applyBorder="1" applyAlignment="1">
      <alignment horizontal="center" vertical="center"/>
    </xf>
    <xf numFmtId="0" fontId="0" fillId="4" borderId="29" xfId="0" applyFill="1" applyBorder="1" applyAlignment="1">
      <alignment horizontal="center" vertical="center"/>
    </xf>
    <xf numFmtId="0" fontId="0" fillId="4" borderId="24" xfId="0" applyFill="1" applyBorder="1" applyAlignment="1">
      <alignment horizontal="center" vertical="center"/>
    </xf>
    <xf numFmtId="0" fontId="0" fillId="4" borderId="25" xfId="0" applyFill="1" applyBorder="1" applyAlignment="1">
      <alignment horizontal="center" vertical="center"/>
    </xf>
    <xf numFmtId="0" fontId="0" fillId="0" borderId="0" xfId="0" applyFill="1" applyAlignment="1">
      <alignment horizontal="center"/>
    </xf>
    <xf numFmtId="0" fontId="0" fillId="0" borderId="0" xfId="0" applyFill="1" applyBorder="1" applyAlignment="1">
      <alignment horizontal="center"/>
    </xf>
    <xf numFmtId="0" fontId="2" fillId="0" borderId="0" xfId="0" applyFont="1" applyFill="1" applyAlignment="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0" fontId="0" fillId="0" borderId="0" xfId="0" applyBorder="1" applyAlignment="1">
      <alignment horizontal="center"/>
    </xf>
    <xf numFmtId="0" fontId="2" fillId="0" borderId="0" xfId="0" applyFont="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28" xfId="0" applyBorder="1" applyAlignment="1">
      <alignment horizontal="center"/>
    </xf>
    <xf numFmtId="0" fontId="2" fillId="0" borderId="28" xfId="0" applyFont="1" applyBorder="1" applyAlignment="1">
      <alignment horizontal="center" vertical="center"/>
    </xf>
    <xf numFmtId="0" fontId="0" fillId="0" borderId="18" xfId="0" applyBorder="1" applyAlignment="1">
      <alignment horizontal="center"/>
    </xf>
    <xf numFmtId="0" fontId="2" fillId="0" borderId="18" xfId="0" applyFont="1" applyBorder="1" applyAlignment="1">
      <alignment horizontal="center" vertical="center"/>
    </xf>
    <xf numFmtId="0" fontId="12" fillId="0" borderId="0" xfId="0" applyFont="1" applyAlignment="1">
      <alignment horizontal="center" vertical="center"/>
    </xf>
    <xf numFmtId="0" fontId="4" fillId="0" borderId="0" xfId="0" applyFont="1" applyAlignment="1">
      <alignment horizontal="center" vertical="center"/>
    </xf>
    <xf numFmtId="0" fontId="4" fillId="0" borderId="0" xfId="0" applyFont="1" applyBorder="1" applyAlignment="1">
      <alignment horizontal="center" vertical="center"/>
    </xf>
    <xf numFmtId="164" fontId="0" fillId="0" borderId="0" xfId="0" applyNumberFormat="1" applyAlignment="1">
      <alignment horizontal="center"/>
    </xf>
    <xf numFmtId="164" fontId="0" fillId="0" borderId="28" xfId="0" applyNumberFormat="1" applyBorder="1" applyAlignment="1">
      <alignment horizontal="center"/>
    </xf>
  </cellXfs>
  <cellStyles count="3">
    <cellStyle name="Currency" xfId="1" builtinId="4"/>
    <cellStyle name="Normal" xfId="0" builtinId="0"/>
    <cellStyle name="Percent" xfId="2" builtinId="5"/>
  </cellStyles>
  <dxfs count="96">
    <dxf>
      <fill>
        <patternFill>
          <bgColor theme="7" tint="0.39994506668294322"/>
        </patternFill>
      </fill>
    </dxf>
    <dxf>
      <font>
        <color theme="0"/>
      </font>
      <fill>
        <patternFill>
          <bgColor rgb="FFC00000"/>
        </patternFill>
      </fill>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 formatCode="0"/>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quot;$&quot;#,##0.00"/>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quot;$&quot;#,##0.00"/>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D3DBE3"/>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D6AAC4"/>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9" formatCode="m/d/yyyy"/>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2" formatCode="0.00"/>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lt;=9999999]###\-####;\(###\)\ ###\-####"/>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D3DBE3"/>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D6AAC4"/>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D3DBE3"/>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30303"/>
        <name val="Calibri"/>
        <family val="2"/>
        <scheme val="none"/>
      </font>
      <fill>
        <patternFill patternType="solid">
          <fgColor indexed="64"/>
          <bgColor rgb="FFD3DBE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rgb="FFD3DBE3"/>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lt;=9999999]###\-####;\(###\)\ ###\-####"/>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font>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righ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righ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left"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right"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D6AAC4"/>
        </patternFill>
      </fill>
      <alignment horizontal="center" vertical="bottom" textRotation="0" wrapText="0" indent="0" justifyLastLine="0" shrinkToFit="0" readingOrder="0"/>
    </dxf>
    <dxf>
      <fill>
        <patternFill patternType="solid">
          <bgColor rgb="FFFFCCFF"/>
        </patternFill>
      </fill>
    </dxf>
    <dxf>
      <fill>
        <patternFill patternType="solid">
          <bgColor rgb="FFFFCCFF"/>
        </patternFill>
      </fill>
    </dxf>
    <dxf>
      <fill>
        <patternFill patternType="solid">
          <bgColor rgb="FFFFCCFF"/>
        </patternFill>
      </fill>
    </dxf>
    <dxf>
      <fill>
        <patternFill patternType="solid">
          <bgColor rgb="FFFFCCFF"/>
        </patternFill>
      </fill>
    </dxf>
    <dxf>
      <fill>
        <patternFill patternType="solid">
          <bgColor rgb="FFFFCCFF"/>
        </patternFill>
      </fill>
    </dxf>
    <dxf>
      <fill>
        <patternFill patternType="solid">
          <bgColor rgb="FFFFCCFF"/>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rgb="FF000000"/>
        <name val="Calibri"/>
        <family val="2"/>
        <scheme val="minor"/>
      </font>
    </dxf>
    <dxf>
      <fill>
        <patternFill patternType="solid">
          <fgColor indexed="64"/>
          <bgColor rgb="FFD3DBE3"/>
        </patternFill>
      </fill>
      <border diagonalUp="0" diagonalDown="0">
        <left style="thin">
          <color indexed="64"/>
        </left>
        <right/>
        <top style="thin">
          <color indexed="64"/>
        </top>
        <bottom style="thin">
          <color indexed="64"/>
        </bottom>
        <vertical/>
        <horizontal/>
      </border>
    </dxf>
    <dxf>
      <numFmt numFmtId="12" formatCode="&quot;$&quot;#,##0.00_);[Red]\(&quot;$&quot;#,##0.00\)"/>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D6AAC4"/>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D3DBE3"/>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D3DBE3"/>
        </patternFill>
      </fill>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rgb="FFD6AAC4"/>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3D3DC"/>
      <color rgb="FFFF99CC"/>
      <color rgb="FFD6AAC4"/>
      <color rgb="FFAAB8E0"/>
      <color rgb="FFD3DBE3"/>
      <color rgb="FFD1F0FF"/>
      <color rgb="FFFFCCFF"/>
      <color rgb="FFAFE4FF"/>
      <color rgb="FF66CCFF"/>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[EliteNails05-09-2021.xlsm]Inventory!PivotTable1</c:name>
    <c:fmtId val="0"/>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Inventory!$F$28</c:f>
              <c:strCache>
                <c:ptCount val="1"/>
                <c:pt idx="0">
                  <c:v>Sum of Stock</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Inventory!$E$29:$E$47</c:f>
              <c:strCache>
                <c:ptCount val="18"/>
                <c:pt idx="0">
                  <c:v>Acetone</c:v>
                </c:pt>
                <c:pt idx="1">
                  <c:v>Acrylic Liquid</c:v>
                </c:pt>
                <c:pt idx="2">
                  <c:v>Acrylic Nail Tips</c:v>
                </c:pt>
                <c:pt idx="3">
                  <c:v>Acrylic Powder</c:v>
                </c:pt>
                <c:pt idx="4">
                  <c:v>Base Coat</c:v>
                </c:pt>
                <c:pt idx="5">
                  <c:v>Bath Soap</c:v>
                </c:pt>
                <c:pt idx="6">
                  <c:v>Body Lotion</c:v>
                </c:pt>
                <c:pt idx="7">
                  <c:v>Body Oil</c:v>
                </c:pt>
                <c:pt idx="8">
                  <c:v>Cuticle Oil</c:v>
                </c:pt>
                <c:pt idx="9">
                  <c:v>Foot Nail File</c:v>
                </c:pt>
                <c:pt idx="10">
                  <c:v>Gel Top Coat</c:v>
                </c:pt>
                <c:pt idx="11">
                  <c:v>Hand Soap</c:v>
                </c:pt>
                <c:pt idx="12">
                  <c:v>Nail Art Sequins</c:v>
                </c:pt>
                <c:pt idx="13">
                  <c:v>Nail File</c:v>
                </c:pt>
                <c:pt idx="14">
                  <c:v>Nail Repair Gel</c:v>
                </c:pt>
                <c:pt idx="15">
                  <c:v>Parrafin Wax</c:v>
                </c:pt>
                <c:pt idx="16">
                  <c:v>Rubbing Alcohol</c:v>
                </c:pt>
                <c:pt idx="17">
                  <c:v>Top Coat</c:v>
                </c:pt>
              </c:strCache>
            </c:strRef>
          </c:cat>
          <c:val>
            <c:numRef>
              <c:f>Inventory!$F$29:$F$47</c:f>
              <c:numCache>
                <c:formatCode>General</c:formatCode>
                <c:ptCount val="18"/>
                <c:pt idx="0">
                  <c:v>384</c:v>
                </c:pt>
                <c:pt idx="1">
                  <c:v>96</c:v>
                </c:pt>
                <c:pt idx="2">
                  <c:v>5000</c:v>
                </c:pt>
                <c:pt idx="3">
                  <c:v>64</c:v>
                </c:pt>
                <c:pt idx="4">
                  <c:v>100</c:v>
                </c:pt>
                <c:pt idx="5">
                  <c:v>512</c:v>
                </c:pt>
                <c:pt idx="6">
                  <c:v>512</c:v>
                </c:pt>
                <c:pt idx="7">
                  <c:v>96</c:v>
                </c:pt>
                <c:pt idx="8">
                  <c:v>10</c:v>
                </c:pt>
                <c:pt idx="9">
                  <c:v>100</c:v>
                </c:pt>
                <c:pt idx="10">
                  <c:v>100</c:v>
                </c:pt>
                <c:pt idx="11">
                  <c:v>512</c:v>
                </c:pt>
                <c:pt idx="12">
                  <c:v>5</c:v>
                </c:pt>
                <c:pt idx="13">
                  <c:v>100</c:v>
                </c:pt>
                <c:pt idx="14">
                  <c:v>60</c:v>
                </c:pt>
                <c:pt idx="15">
                  <c:v>6</c:v>
                </c:pt>
                <c:pt idx="16">
                  <c:v>192</c:v>
                </c:pt>
                <c:pt idx="17">
                  <c:v>100</c:v>
                </c:pt>
              </c:numCache>
            </c:numRef>
          </c:val>
          <c:extLst>
            <c:ext xmlns:c16="http://schemas.microsoft.com/office/drawing/2014/chart" uri="{C3380CC4-5D6E-409C-BE32-E72D297353CC}">
              <c16:uniqueId val="{00000001-89EF-4F5B-93BE-147D7F6A6F96}"/>
            </c:ext>
          </c:extLst>
        </c:ser>
        <c:ser>
          <c:idx val="1"/>
          <c:order val="1"/>
          <c:tx>
            <c:strRef>
              <c:f>Inventory!$G$28</c:f>
              <c:strCache>
                <c:ptCount val="1"/>
                <c:pt idx="0">
                  <c:v>Sum of Remaining Stock2</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Inventory!$E$29:$E$47</c:f>
              <c:strCache>
                <c:ptCount val="18"/>
                <c:pt idx="0">
                  <c:v>Acetone</c:v>
                </c:pt>
                <c:pt idx="1">
                  <c:v>Acrylic Liquid</c:v>
                </c:pt>
                <c:pt idx="2">
                  <c:v>Acrylic Nail Tips</c:v>
                </c:pt>
                <c:pt idx="3">
                  <c:v>Acrylic Powder</c:v>
                </c:pt>
                <c:pt idx="4">
                  <c:v>Base Coat</c:v>
                </c:pt>
                <c:pt idx="5">
                  <c:v>Bath Soap</c:v>
                </c:pt>
                <c:pt idx="6">
                  <c:v>Body Lotion</c:v>
                </c:pt>
                <c:pt idx="7">
                  <c:v>Body Oil</c:v>
                </c:pt>
                <c:pt idx="8">
                  <c:v>Cuticle Oil</c:v>
                </c:pt>
                <c:pt idx="9">
                  <c:v>Foot Nail File</c:v>
                </c:pt>
                <c:pt idx="10">
                  <c:v>Gel Top Coat</c:v>
                </c:pt>
                <c:pt idx="11">
                  <c:v>Hand Soap</c:v>
                </c:pt>
                <c:pt idx="12">
                  <c:v>Nail Art Sequins</c:v>
                </c:pt>
                <c:pt idx="13">
                  <c:v>Nail File</c:v>
                </c:pt>
                <c:pt idx="14">
                  <c:v>Nail Repair Gel</c:v>
                </c:pt>
                <c:pt idx="15">
                  <c:v>Parrafin Wax</c:v>
                </c:pt>
                <c:pt idx="16">
                  <c:v>Rubbing Alcohol</c:v>
                </c:pt>
                <c:pt idx="17">
                  <c:v>Top Coat</c:v>
                </c:pt>
              </c:strCache>
            </c:strRef>
          </c:cat>
          <c:val>
            <c:numRef>
              <c:f>Inventory!$G$29:$G$47</c:f>
              <c:numCache>
                <c:formatCode>General</c:formatCode>
                <c:ptCount val="18"/>
                <c:pt idx="0">
                  <c:v>383.4</c:v>
                </c:pt>
                <c:pt idx="1">
                  <c:v>60</c:v>
                </c:pt>
                <c:pt idx="2">
                  <c:v>3210</c:v>
                </c:pt>
                <c:pt idx="3">
                  <c:v>64</c:v>
                </c:pt>
                <c:pt idx="4">
                  <c:v>49.2</c:v>
                </c:pt>
                <c:pt idx="5">
                  <c:v>384</c:v>
                </c:pt>
                <c:pt idx="6">
                  <c:v>512</c:v>
                </c:pt>
                <c:pt idx="7">
                  <c:v>80</c:v>
                </c:pt>
                <c:pt idx="8">
                  <c:v>8.8000000000000007</c:v>
                </c:pt>
                <c:pt idx="9">
                  <c:v>0</c:v>
                </c:pt>
                <c:pt idx="10">
                  <c:v>69</c:v>
                </c:pt>
                <c:pt idx="11">
                  <c:v>382.8</c:v>
                </c:pt>
                <c:pt idx="12">
                  <c:v>5</c:v>
                </c:pt>
                <c:pt idx="13">
                  <c:v>87</c:v>
                </c:pt>
                <c:pt idx="14">
                  <c:v>48</c:v>
                </c:pt>
                <c:pt idx="15">
                  <c:v>5</c:v>
                </c:pt>
                <c:pt idx="16">
                  <c:v>94</c:v>
                </c:pt>
                <c:pt idx="17">
                  <c:v>80</c:v>
                </c:pt>
              </c:numCache>
            </c:numRef>
          </c:val>
          <c:extLst>
            <c:ext xmlns:c16="http://schemas.microsoft.com/office/drawing/2014/chart" uri="{C3380CC4-5D6E-409C-BE32-E72D297353CC}">
              <c16:uniqueId val="{00000002-89EF-4F5B-93BE-147D7F6A6F96}"/>
            </c:ext>
          </c:extLst>
        </c:ser>
        <c:dLbls>
          <c:showLegendKey val="0"/>
          <c:showVal val="0"/>
          <c:showCatName val="0"/>
          <c:showSerName val="0"/>
          <c:showPercent val="0"/>
          <c:showBubbleSize val="0"/>
        </c:dLbls>
        <c:gapWidth val="164"/>
        <c:overlap val="-22"/>
        <c:axId val="838273056"/>
        <c:axId val="838272640"/>
      </c:barChart>
      <c:catAx>
        <c:axId val="83827305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crossAx val="838272640"/>
        <c:crosses val="autoZero"/>
        <c:auto val="1"/>
        <c:lblAlgn val="ctr"/>
        <c:lblOffset val="100"/>
        <c:noMultiLvlLbl val="0"/>
      </c:catAx>
      <c:valAx>
        <c:axId val="8382726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crossAx val="838273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effectLst>
                <a:glow rad="127000">
                  <a:srgbClr val="D1F0FF"/>
                </a:glo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CFF">
        <a:alpha val="91000"/>
      </a:srgbClr>
    </a:solidFill>
    <a:ln w="9525" cap="flat" cmpd="sng" algn="ctr">
      <a:solidFill>
        <a:srgbClr val="FF99CC"/>
      </a:solidFill>
      <a:round/>
    </a:ln>
    <a:effectLst/>
  </c:spPr>
  <c:txPr>
    <a:bodyPr/>
    <a:lstStyle/>
    <a:p>
      <a:pPr>
        <a:defRPr>
          <a:solidFill>
            <a:schemeClr val="tx1">
              <a:lumMod val="95000"/>
              <a:lumOff val="5000"/>
            </a:schemeClr>
          </a:solidFill>
          <a:effectLst>
            <a:glow rad="127000">
              <a:srgbClr val="D1F0FF"/>
            </a:glo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[EliteNails05-09-2021.xlsm]Dashboard !PivotTable18</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'!$B$4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'!$A$5:$A$12</c:f>
              <c:strCache>
                <c:ptCount val="7"/>
                <c:pt idx="0">
                  <c:v>Karina Mendoza</c:v>
                </c:pt>
                <c:pt idx="1">
                  <c:v>Leslie Suarez</c:v>
                </c:pt>
                <c:pt idx="2">
                  <c:v>Monica  Galindo</c:v>
                </c:pt>
                <c:pt idx="3">
                  <c:v>Sarah Smith</c:v>
                </c:pt>
                <c:pt idx="4">
                  <c:v>Shaileen Brooks</c:v>
                </c:pt>
                <c:pt idx="5">
                  <c:v>Wendy Yang</c:v>
                </c:pt>
                <c:pt idx="6">
                  <c:v>(blank)</c:v>
                </c:pt>
              </c:strCache>
            </c:strRef>
          </c:cat>
          <c:val>
            <c:numRef>
              <c:f>'Dashboard '!$B$5:$B$12</c:f>
              <c:numCache>
                <c:formatCode>General</c:formatCode>
                <c:ptCount val="7"/>
                <c:pt idx="0">
                  <c:v>1</c:v>
                </c:pt>
                <c:pt idx="1">
                  <c:v>1</c:v>
                </c:pt>
                <c:pt idx="2">
                  <c:v>1</c:v>
                </c:pt>
                <c:pt idx="3">
                  <c:v>1</c:v>
                </c:pt>
                <c:pt idx="4">
                  <c:v>1</c:v>
                </c:pt>
                <c:pt idx="5">
                  <c:v>4</c:v>
                </c:pt>
              </c:numCache>
            </c:numRef>
          </c:val>
          <c:extLst>
            <c:ext xmlns:c16="http://schemas.microsoft.com/office/drawing/2014/chart" uri="{C3380CC4-5D6E-409C-BE32-E72D297353CC}">
              <c16:uniqueId val="{00000000-2FD2-471B-919F-B676FED272EA}"/>
            </c:ext>
          </c:extLst>
        </c:ser>
        <c:dLbls>
          <c:dLblPos val="outEnd"/>
          <c:showLegendKey val="0"/>
          <c:showVal val="1"/>
          <c:showCatName val="0"/>
          <c:showSerName val="0"/>
          <c:showPercent val="0"/>
          <c:showBubbleSize val="0"/>
        </c:dLbls>
        <c:gapWidth val="100"/>
        <c:axId val="1034273200"/>
        <c:axId val="1034274864"/>
      </c:barChart>
      <c:catAx>
        <c:axId val="103427320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74864"/>
        <c:crosses val="autoZero"/>
        <c:auto val="1"/>
        <c:lblAlgn val="ctr"/>
        <c:lblOffset val="100"/>
        <c:noMultiLvlLbl val="0"/>
      </c:catAx>
      <c:valAx>
        <c:axId val="1034274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273200"/>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[EliteNails05-09-2021.xlsm]Dashboard !PivotTable26</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'!$D$4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 '!$C$5:$C$10</c:f>
              <c:strCache>
                <c:ptCount val="5"/>
                <c:pt idx="0">
                  <c:v>Jason Johnson</c:v>
                </c:pt>
                <c:pt idx="1">
                  <c:v>Jesse Lima</c:v>
                </c:pt>
                <c:pt idx="2">
                  <c:v>Sarah Ferra</c:v>
                </c:pt>
                <c:pt idx="3">
                  <c:v>Trisha Jones</c:v>
                </c:pt>
                <c:pt idx="4">
                  <c:v>(blank)</c:v>
                </c:pt>
              </c:strCache>
            </c:strRef>
          </c:cat>
          <c:val>
            <c:numRef>
              <c:f>'Dashboard '!$D$5:$D$10</c:f>
              <c:numCache>
                <c:formatCode>General</c:formatCode>
                <c:ptCount val="5"/>
                <c:pt idx="0">
                  <c:v>2</c:v>
                </c:pt>
                <c:pt idx="1">
                  <c:v>2</c:v>
                </c:pt>
                <c:pt idx="2">
                  <c:v>3</c:v>
                </c:pt>
                <c:pt idx="3">
                  <c:v>2</c:v>
                </c:pt>
              </c:numCache>
            </c:numRef>
          </c:val>
          <c:extLst>
            <c:ext xmlns:c16="http://schemas.microsoft.com/office/drawing/2014/chart" uri="{C3380CC4-5D6E-409C-BE32-E72D297353CC}">
              <c16:uniqueId val="{00000000-AFA0-4339-A212-508FD84004E3}"/>
            </c:ext>
          </c:extLst>
        </c:ser>
        <c:dLbls>
          <c:showLegendKey val="0"/>
          <c:showVal val="0"/>
          <c:showCatName val="0"/>
          <c:showSerName val="0"/>
          <c:showPercent val="0"/>
          <c:showBubbleSize val="0"/>
        </c:dLbls>
        <c:gapWidth val="100"/>
        <c:overlap val="-24"/>
        <c:axId val="887885616"/>
        <c:axId val="887884368"/>
      </c:barChart>
      <c:catAx>
        <c:axId val="8878856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884368"/>
        <c:crosses val="autoZero"/>
        <c:auto val="1"/>
        <c:lblAlgn val="ctr"/>
        <c:lblOffset val="100"/>
        <c:noMultiLvlLbl val="0"/>
      </c:catAx>
      <c:valAx>
        <c:axId val="887884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885616"/>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[EliteNails05-09-2021.xlsm]Dashboard !PivotTable27</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4632327209098762E-2"/>
              <c:y val="-3.5414479440070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3585958005249344E-2"/>
              <c:y val="1.16338582677165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5042213473315841E-2"/>
              <c:y val="3.82104841061533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6604330708661431E-2"/>
              <c:y val="1.61136628754738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3000"/>
                  <a:satMod val="103000"/>
                  <a:lumMod val="102000"/>
                  <a:tint val="94000"/>
                </a:schemeClr>
              </a:gs>
              <a:gs pos="50000">
                <a:schemeClr val="accent1">
                  <a:shade val="53000"/>
                  <a:satMod val="110000"/>
                  <a:lumMod val="100000"/>
                  <a:shade val="100000"/>
                </a:schemeClr>
              </a:gs>
              <a:gs pos="100000">
                <a:schemeClr val="accent1">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0702537182852144"/>
          <c:y val="0.33633821813939924"/>
          <c:w val="0.77378937007874016"/>
          <c:h val="0.53774387576552929"/>
        </c:manualLayout>
      </c:layout>
      <c:pieChart>
        <c:varyColors val="1"/>
        <c:ser>
          <c:idx val="0"/>
          <c:order val="0"/>
          <c:tx>
            <c:strRef>
              <c:f>'Dashboard '!$F$4</c:f>
              <c:strCache>
                <c:ptCount val="1"/>
                <c:pt idx="0">
                  <c:v>Total</c:v>
                </c:pt>
              </c:strCache>
            </c:strRef>
          </c:tx>
          <c:dPt>
            <c:idx val="0"/>
            <c:bubble3D val="0"/>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430-4A03-92FC-9B4A2DD9D917}"/>
              </c:ext>
            </c:extLst>
          </c:dPt>
          <c:dPt>
            <c:idx val="1"/>
            <c:bubble3D val="0"/>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430-4A03-92FC-9B4A2DD9D917}"/>
              </c:ext>
            </c:extLst>
          </c:dPt>
          <c:dPt>
            <c:idx val="2"/>
            <c:bubble3D val="0"/>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8430-4A03-92FC-9B4A2DD9D917}"/>
              </c:ext>
            </c:extLst>
          </c:dPt>
          <c:dPt>
            <c:idx val="3"/>
            <c:bubble3D val="0"/>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430-4A03-92FC-9B4A2DD9D917}"/>
              </c:ext>
            </c:extLst>
          </c:dPt>
          <c:dPt>
            <c:idx val="4"/>
            <c:bubble3D val="0"/>
            <c:spPr>
              <a:gradFill rotWithShape="1">
                <a:gsLst>
                  <a:gs pos="0">
                    <a:schemeClr val="accent1">
                      <a:shade val="53000"/>
                      <a:satMod val="103000"/>
                      <a:lumMod val="102000"/>
                      <a:tint val="94000"/>
                    </a:schemeClr>
                  </a:gs>
                  <a:gs pos="50000">
                    <a:schemeClr val="accent1">
                      <a:shade val="53000"/>
                      <a:satMod val="110000"/>
                      <a:lumMod val="100000"/>
                      <a:shade val="100000"/>
                    </a:schemeClr>
                  </a:gs>
                  <a:gs pos="100000">
                    <a:schemeClr val="accent1">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D45-4984-B7F1-A0F1144E1748}"/>
              </c:ext>
            </c:extLst>
          </c:dPt>
          <c:dLbls>
            <c:dLbl>
              <c:idx val="0"/>
              <c:layout>
                <c:manualLayout>
                  <c:x val="2.4632327209098762E-2"/>
                  <c:y val="-3.541447944007003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430-4A03-92FC-9B4A2DD9D917}"/>
                </c:ext>
              </c:extLst>
            </c:dLbl>
            <c:dLbl>
              <c:idx val="1"/>
              <c:layout>
                <c:manualLayout>
                  <c:x val="4.3585958005249344E-2"/>
                  <c:y val="1.163385826771653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30-4A03-92FC-9B4A2DD9D917}"/>
                </c:ext>
              </c:extLst>
            </c:dLbl>
            <c:dLbl>
              <c:idx val="2"/>
              <c:layout>
                <c:manualLayout>
                  <c:x val="-7.5042213473315841E-2"/>
                  <c:y val="3.821048410615339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430-4A03-92FC-9B4A2DD9D917}"/>
                </c:ext>
              </c:extLst>
            </c:dLbl>
            <c:dLbl>
              <c:idx val="3"/>
              <c:layout>
                <c:manualLayout>
                  <c:x val="-2.6604330708661431E-2"/>
                  <c:y val="1.611366287547381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430-4A03-92FC-9B4A2DD9D9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'!$E$5:$E$10</c:f>
              <c:strCache>
                <c:ptCount val="5"/>
                <c:pt idx="0">
                  <c:v>4/1/2021</c:v>
                </c:pt>
                <c:pt idx="1">
                  <c:v>4/15/2021</c:v>
                </c:pt>
                <c:pt idx="2">
                  <c:v>4/27/2021</c:v>
                </c:pt>
                <c:pt idx="3">
                  <c:v>4/30/2021</c:v>
                </c:pt>
                <c:pt idx="4">
                  <c:v>(blank)</c:v>
                </c:pt>
              </c:strCache>
            </c:strRef>
          </c:cat>
          <c:val>
            <c:numRef>
              <c:f>'Dashboard '!$F$5:$F$10</c:f>
              <c:numCache>
                <c:formatCode>General</c:formatCode>
                <c:ptCount val="5"/>
                <c:pt idx="0">
                  <c:v>25</c:v>
                </c:pt>
                <c:pt idx="1">
                  <c:v>25</c:v>
                </c:pt>
                <c:pt idx="2">
                  <c:v>141.19999999999999</c:v>
                </c:pt>
                <c:pt idx="3">
                  <c:v>164.5</c:v>
                </c:pt>
              </c:numCache>
            </c:numRef>
          </c:val>
          <c:extLst>
            <c:ext xmlns:c16="http://schemas.microsoft.com/office/drawing/2014/chart" uri="{C3380CC4-5D6E-409C-BE32-E72D297353CC}">
              <c16:uniqueId val="{00000000-8430-4A03-92FC-9B4A2DD9D917}"/>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15.pn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9.png"/><Relationship Id="rId6" Type="http://schemas.openxmlformats.org/officeDocument/2006/relationships/image" Target="../media/image20.png"/><Relationship Id="rId5" Type="http://schemas.openxmlformats.org/officeDocument/2006/relationships/image" Target="../media/image5.png"/><Relationship Id="rId4" Type="http://schemas.openxmlformats.org/officeDocument/2006/relationships/image" Target="../media/image4.svg"/></Relationships>
</file>

<file path=xl/drawings/_rels/drawing8.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23.png"/><Relationship Id="rId5" Type="http://schemas.openxmlformats.org/officeDocument/2006/relationships/image" Target="../media/image16.png"/><Relationship Id="rId4"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26.png"/><Relationship Id="rId5" Type="http://schemas.openxmlformats.org/officeDocument/2006/relationships/image" Target="../media/image25.png"/><Relationship Id="rId4" Type="http://schemas.openxmlformats.org/officeDocument/2006/relationships/image" Target="../media/image5.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9.png"/><Relationship Id="rId6" Type="http://schemas.openxmlformats.org/officeDocument/2006/relationships/image" Target="../media/image28.png"/><Relationship Id="rId5" Type="http://schemas.openxmlformats.org/officeDocument/2006/relationships/image" Target="../media/image27.png"/><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9.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1</xdr:col>
      <xdr:colOff>847725</xdr:colOff>
      <xdr:row>0</xdr:row>
      <xdr:rowOff>0</xdr:rowOff>
    </xdr:from>
    <xdr:to>
      <xdr:col>6</xdr:col>
      <xdr:colOff>114300</xdr:colOff>
      <xdr:row>8</xdr:row>
      <xdr:rowOff>451</xdr:rowOff>
    </xdr:to>
    <xdr:pic macro="[0]!Home">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275" y="0"/>
          <a:ext cx="2771775" cy="1613616"/>
        </a:xfrm>
        <a:prstGeom prst="rect">
          <a:avLst/>
        </a:prstGeom>
      </xdr:spPr>
    </xdr:pic>
    <xdr:clientData/>
  </xdr:twoCellAnchor>
  <xdr:twoCellAnchor>
    <xdr:from>
      <xdr:col>3</xdr:col>
      <xdr:colOff>85724</xdr:colOff>
      <xdr:row>22</xdr:row>
      <xdr:rowOff>123824</xdr:rowOff>
    </xdr:from>
    <xdr:to>
      <xdr:col>3</xdr:col>
      <xdr:colOff>485775</xdr:colOff>
      <xdr:row>24</xdr:row>
      <xdr:rowOff>28575</xdr:rowOff>
    </xdr:to>
    <xdr:sp macro="[0]!HomeServices" textlink="">
      <xdr:nvSpPr>
        <xdr:cNvPr id="5" name="Arrow: Right 4">
          <a:extLst>
            <a:ext uri="{FF2B5EF4-FFF2-40B4-BE49-F238E27FC236}">
              <a16:creationId xmlns:a16="http://schemas.microsoft.com/office/drawing/2014/main" id="{00000000-0008-0000-0000-000005000000}"/>
            </a:ext>
          </a:extLst>
        </xdr:cNvPr>
        <xdr:cNvSpPr/>
      </xdr:nvSpPr>
      <xdr:spPr>
        <a:xfrm>
          <a:off x="2409824" y="4400549"/>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85725</xdr:colOff>
      <xdr:row>27</xdr:row>
      <xdr:rowOff>152400</xdr:rowOff>
    </xdr:from>
    <xdr:to>
      <xdr:col>3</xdr:col>
      <xdr:colOff>485776</xdr:colOff>
      <xdr:row>29</xdr:row>
      <xdr:rowOff>57151</xdr:rowOff>
    </xdr:to>
    <xdr:sp macro="[0]!HomeMembers" textlink="">
      <xdr:nvSpPr>
        <xdr:cNvPr id="6" name="Arrow: Right 5">
          <a:extLst>
            <a:ext uri="{FF2B5EF4-FFF2-40B4-BE49-F238E27FC236}">
              <a16:creationId xmlns:a16="http://schemas.microsoft.com/office/drawing/2014/main" id="{00000000-0008-0000-0000-000006000000}"/>
            </a:ext>
          </a:extLst>
        </xdr:cNvPr>
        <xdr:cNvSpPr/>
      </xdr:nvSpPr>
      <xdr:spPr>
        <a:xfrm>
          <a:off x="2409825" y="5400675"/>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95250</xdr:colOff>
      <xdr:row>32</xdr:row>
      <xdr:rowOff>57150</xdr:rowOff>
    </xdr:from>
    <xdr:to>
      <xdr:col>3</xdr:col>
      <xdr:colOff>495301</xdr:colOff>
      <xdr:row>33</xdr:row>
      <xdr:rowOff>152401</xdr:rowOff>
    </xdr:to>
    <xdr:sp macro="[0]!HomeInventory" textlink="">
      <xdr:nvSpPr>
        <xdr:cNvPr id="7" name="Arrow: Right 6">
          <a:extLst>
            <a:ext uri="{FF2B5EF4-FFF2-40B4-BE49-F238E27FC236}">
              <a16:creationId xmlns:a16="http://schemas.microsoft.com/office/drawing/2014/main" id="{00000000-0008-0000-0000-000007000000}"/>
            </a:ext>
          </a:extLst>
        </xdr:cNvPr>
        <xdr:cNvSpPr/>
      </xdr:nvSpPr>
      <xdr:spPr>
        <a:xfrm>
          <a:off x="2419350" y="6276975"/>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95250</xdr:colOff>
      <xdr:row>34</xdr:row>
      <xdr:rowOff>28575</xdr:rowOff>
    </xdr:from>
    <xdr:to>
      <xdr:col>3</xdr:col>
      <xdr:colOff>495301</xdr:colOff>
      <xdr:row>35</xdr:row>
      <xdr:rowOff>123826</xdr:rowOff>
    </xdr:to>
    <xdr:sp macro="[0]!HomeSuppliers" textlink="">
      <xdr:nvSpPr>
        <xdr:cNvPr id="8" name="Arrow: Right 7">
          <a:extLst>
            <a:ext uri="{FF2B5EF4-FFF2-40B4-BE49-F238E27FC236}">
              <a16:creationId xmlns:a16="http://schemas.microsoft.com/office/drawing/2014/main" id="{00000000-0008-0000-0000-000008000000}"/>
            </a:ext>
          </a:extLst>
        </xdr:cNvPr>
        <xdr:cNvSpPr/>
      </xdr:nvSpPr>
      <xdr:spPr>
        <a:xfrm>
          <a:off x="2419350" y="6629400"/>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114300</xdr:colOff>
      <xdr:row>22</xdr:row>
      <xdr:rowOff>133350</xdr:rowOff>
    </xdr:from>
    <xdr:to>
      <xdr:col>8</xdr:col>
      <xdr:colOff>514351</xdr:colOff>
      <xdr:row>24</xdr:row>
      <xdr:rowOff>38101</xdr:rowOff>
    </xdr:to>
    <xdr:sp macro="[0]!HomeInvoice" textlink="">
      <xdr:nvSpPr>
        <xdr:cNvPr id="9" name="Arrow: Right 8">
          <a:extLst>
            <a:ext uri="{FF2B5EF4-FFF2-40B4-BE49-F238E27FC236}">
              <a16:creationId xmlns:a16="http://schemas.microsoft.com/office/drawing/2014/main" id="{00000000-0008-0000-0000-000009000000}"/>
            </a:ext>
          </a:extLst>
        </xdr:cNvPr>
        <xdr:cNvSpPr/>
      </xdr:nvSpPr>
      <xdr:spPr>
        <a:xfrm>
          <a:off x="5391150" y="4410075"/>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123825</xdr:colOff>
      <xdr:row>27</xdr:row>
      <xdr:rowOff>171450</xdr:rowOff>
    </xdr:from>
    <xdr:to>
      <xdr:col>8</xdr:col>
      <xdr:colOff>523876</xdr:colOff>
      <xdr:row>29</xdr:row>
      <xdr:rowOff>76201</xdr:rowOff>
    </xdr:to>
    <xdr:sp macro="[0]!HomeTransactions" textlink="">
      <xdr:nvSpPr>
        <xdr:cNvPr id="10" name="Arrow: Right 9">
          <a:extLst>
            <a:ext uri="{FF2B5EF4-FFF2-40B4-BE49-F238E27FC236}">
              <a16:creationId xmlns:a16="http://schemas.microsoft.com/office/drawing/2014/main" id="{00000000-0008-0000-0000-00000A000000}"/>
            </a:ext>
          </a:extLst>
        </xdr:cNvPr>
        <xdr:cNvSpPr/>
      </xdr:nvSpPr>
      <xdr:spPr>
        <a:xfrm>
          <a:off x="5400675" y="5419725"/>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114300</xdr:colOff>
      <xdr:row>32</xdr:row>
      <xdr:rowOff>152400</xdr:rowOff>
    </xdr:from>
    <xdr:to>
      <xdr:col>8</xdr:col>
      <xdr:colOff>514351</xdr:colOff>
      <xdr:row>34</xdr:row>
      <xdr:rowOff>57151</xdr:rowOff>
    </xdr:to>
    <xdr:sp macro="[0]!HomeDashboard" textlink="">
      <xdr:nvSpPr>
        <xdr:cNvPr id="11" name="Arrow: Right 10">
          <a:extLst>
            <a:ext uri="{FF2B5EF4-FFF2-40B4-BE49-F238E27FC236}">
              <a16:creationId xmlns:a16="http://schemas.microsoft.com/office/drawing/2014/main" id="{00000000-0008-0000-0000-00000B000000}"/>
            </a:ext>
          </a:extLst>
        </xdr:cNvPr>
        <xdr:cNvSpPr/>
      </xdr:nvSpPr>
      <xdr:spPr>
        <a:xfrm>
          <a:off x="5391150" y="6372225"/>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180975</xdr:colOff>
      <xdr:row>22</xdr:row>
      <xdr:rowOff>66675</xdr:rowOff>
    </xdr:from>
    <xdr:to>
      <xdr:col>12</xdr:col>
      <xdr:colOff>581026</xdr:colOff>
      <xdr:row>23</xdr:row>
      <xdr:rowOff>161926</xdr:rowOff>
    </xdr:to>
    <xdr:sp macro="[0]!HomeEmployees" textlink="">
      <xdr:nvSpPr>
        <xdr:cNvPr id="3" name="Arrow: Right 11">
          <a:extLst>
            <a:ext uri="{FF2B5EF4-FFF2-40B4-BE49-F238E27FC236}">
              <a16:creationId xmlns:a16="http://schemas.microsoft.com/office/drawing/2014/main" id="{00000000-0008-0000-0000-000003000000}"/>
            </a:ext>
          </a:extLst>
        </xdr:cNvPr>
        <xdr:cNvSpPr/>
      </xdr:nvSpPr>
      <xdr:spPr>
        <a:xfrm>
          <a:off x="8924925" y="4343400"/>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180975</xdr:colOff>
      <xdr:row>25</xdr:row>
      <xdr:rowOff>19050</xdr:rowOff>
    </xdr:from>
    <xdr:to>
      <xdr:col>12</xdr:col>
      <xdr:colOff>581026</xdr:colOff>
      <xdr:row>26</xdr:row>
      <xdr:rowOff>104776</xdr:rowOff>
    </xdr:to>
    <xdr:sp macro="[0]!HomeLabor" textlink="">
      <xdr:nvSpPr>
        <xdr:cNvPr id="13" name="Arrow: Right 12">
          <a:extLst>
            <a:ext uri="{FF2B5EF4-FFF2-40B4-BE49-F238E27FC236}">
              <a16:creationId xmlns:a16="http://schemas.microsoft.com/office/drawing/2014/main" id="{00000000-0008-0000-0000-00000D000000}"/>
            </a:ext>
          </a:extLst>
        </xdr:cNvPr>
        <xdr:cNvSpPr/>
      </xdr:nvSpPr>
      <xdr:spPr>
        <a:xfrm>
          <a:off x="8924925" y="4867275"/>
          <a:ext cx="400051" cy="285751"/>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180473</xdr:colOff>
      <xdr:row>0</xdr:row>
      <xdr:rowOff>10026</xdr:rowOff>
    </xdr:from>
    <xdr:to>
      <xdr:col>12</xdr:col>
      <xdr:colOff>701841</xdr:colOff>
      <xdr:row>2</xdr:row>
      <xdr:rowOff>90236</xdr:rowOff>
    </xdr:to>
    <xdr:pic macro="[0]!PrintOutHomeArea">
      <xdr:nvPicPr>
        <xdr:cNvPr id="12" name="Graphic 11" descr="Printer with solid fill">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933447" y="10026"/>
          <a:ext cx="521368" cy="521368"/>
        </a:xfrm>
        <a:prstGeom prst="rect">
          <a:avLst/>
        </a:prstGeom>
      </xdr:spPr>
    </xdr:pic>
    <xdr:clientData/>
  </xdr:twoCellAnchor>
  <xdr:twoCellAnchor editAs="oneCell">
    <xdr:from>
      <xdr:col>11</xdr:col>
      <xdr:colOff>361962</xdr:colOff>
      <xdr:row>0</xdr:row>
      <xdr:rowOff>86895</xdr:rowOff>
    </xdr:from>
    <xdr:to>
      <xdr:col>11</xdr:col>
      <xdr:colOff>923906</xdr:colOff>
      <xdr:row>3</xdr:row>
      <xdr:rowOff>109694</xdr:rowOff>
    </xdr:to>
    <xdr:pic macro="[0]!calculator">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8449857" y="86895"/>
          <a:ext cx="561944" cy="64443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609600</xdr:colOff>
          <xdr:row>5</xdr:row>
          <xdr:rowOff>142875</xdr:rowOff>
        </xdr:from>
        <xdr:to>
          <xdr:col>15</xdr:col>
          <xdr:colOff>361950</xdr:colOff>
          <xdr:row>8</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Save Workbook with Timestamp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581025</xdr:colOff>
          <xdr:row>10</xdr:row>
          <xdr:rowOff>28575</xdr:rowOff>
        </xdr:from>
        <xdr:to>
          <xdr:col>15</xdr:col>
          <xdr:colOff>333375</xdr:colOff>
          <xdr:row>13</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Workbook as PDF</a:t>
              </a:r>
            </a:p>
          </xdr:txBody>
        </xdr:sp>
        <xdr:clientData fPrintsWithSheet="0"/>
      </xdr:twoCellAnchor>
    </mc:Choice>
    <mc:Fallback/>
  </mc:AlternateContent>
  <xdr:twoCellAnchor editAs="oneCell">
    <xdr:from>
      <xdr:col>10</xdr:col>
      <xdr:colOff>70184</xdr:colOff>
      <xdr:row>1</xdr:row>
      <xdr:rowOff>110289</xdr:rowOff>
    </xdr:from>
    <xdr:to>
      <xdr:col>10</xdr:col>
      <xdr:colOff>515353</xdr:colOff>
      <xdr:row>3</xdr:row>
      <xdr:rowOff>124326</xdr:rowOff>
    </xdr:to>
    <xdr:pic macro="[0]!runclock">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50605" y="310815"/>
          <a:ext cx="445169" cy="445169"/>
        </a:xfrm>
        <a:prstGeom prst="rect">
          <a:avLst/>
        </a:prstGeom>
      </xdr:spPr>
    </xdr:pic>
    <xdr:clientData/>
  </xdr:twoCellAnchor>
  <xdr:twoCellAnchor editAs="oneCell">
    <xdr:from>
      <xdr:col>12</xdr:col>
      <xdr:colOff>1163053</xdr:colOff>
      <xdr:row>0</xdr:row>
      <xdr:rowOff>40106</xdr:rowOff>
    </xdr:from>
    <xdr:to>
      <xdr:col>13</xdr:col>
      <xdr:colOff>581525</xdr:colOff>
      <xdr:row>3</xdr:row>
      <xdr:rowOff>637</xdr:rowOff>
    </xdr:to>
    <xdr:pic macro="[0]!ZoomIn">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430753" y="40106"/>
          <a:ext cx="580522" cy="580522"/>
        </a:xfrm>
        <a:prstGeom prst="rect">
          <a:avLst/>
        </a:prstGeom>
      </xdr:spPr>
    </xdr:pic>
    <xdr:clientData/>
  </xdr:twoCellAnchor>
  <xdr:twoCellAnchor editAs="oneCell">
    <xdr:from>
      <xdr:col>13</xdr:col>
      <xdr:colOff>457595</xdr:colOff>
      <xdr:row>0</xdr:row>
      <xdr:rowOff>50132</xdr:rowOff>
    </xdr:from>
    <xdr:to>
      <xdr:col>14</xdr:col>
      <xdr:colOff>472239</xdr:colOff>
      <xdr:row>3</xdr:row>
      <xdr:rowOff>21663</xdr:rowOff>
    </xdr:to>
    <xdr:pic macro="[0]!ZoomOut">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63545" y="50132"/>
          <a:ext cx="605194" cy="60018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609600</xdr:colOff>
          <xdr:row>14</xdr:row>
          <xdr:rowOff>133350</xdr:rowOff>
        </xdr:from>
        <xdr:to>
          <xdr:col>13</xdr:col>
          <xdr:colOff>581025</xdr:colOff>
          <xdr:row>17</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14</xdr:row>
          <xdr:rowOff>104775</xdr:rowOff>
        </xdr:from>
        <xdr:to>
          <xdr:col>15</xdr:col>
          <xdr:colOff>247650</xdr:colOff>
          <xdr:row>17</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1238250</xdr:colOff>
          <xdr:row>29</xdr:row>
          <xdr:rowOff>180975</xdr:rowOff>
        </xdr:from>
        <xdr:to>
          <xdr:col>11</xdr:col>
          <xdr:colOff>990600</xdr:colOff>
          <xdr:row>34</xdr:row>
          <xdr:rowOff>9525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Save and close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28574</xdr:colOff>
      <xdr:row>3</xdr:row>
      <xdr:rowOff>63186</xdr:rowOff>
    </xdr:to>
    <xdr:pic macro="[0]!Home">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19274" cy="691836"/>
        </a:xfrm>
        <a:prstGeom prst="rect">
          <a:avLst/>
        </a:prstGeom>
      </xdr:spPr>
    </xdr:pic>
    <xdr:clientData/>
  </xdr:twoCellAnchor>
  <xdr:twoCellAnchor>
    <xdr:from>
      <xdr:col>3</xdr:col>
      <xdr:colOff>66675</xdr:colOff>
      <xdr:row>0</xdr:row>
      <xdr:rowOff>66675</xdr:rowOff>
    </xdr:from>
    <xdr:to>
      <xdr:col>4</xdr:col>
      <xdr:colOff>257175</xdr:colOff>
      <xdr:row>2</xdr:row>
      <xdr:rowOff>104775</xdr:rowOff>
    </xdr:to>
    <xdr:sp macro="[0]!ServicesNP" textlink="">
      <xdr:nvSpPr>
        <xdr:cNvPr id="35" name="Arrow: Right 3">
          <a:extLst>
            <a:ext uri="{FF2B5EF4-FFF2-40B4-BE49-F238E27FC236}">
              <a16:creationId xmlns:a16="http://schemas.microsoft.com/office/drawing/2014/main" id="{00000000-0008-0000-0100-000023000000}"/>
            </a:ext>
            <a:ext uri="{147F2762-F138-4A5C-976F-8EAC2B608ADB}">
              <a16:predDERef xmlns:a16="http://schemas.microsoft.com/office/drawing/2014/main" pred="{A702B357-8A4C-4913-8B3A-AA4CEB612882}"/>
            </a:ext>
          </a:extLst>
        </xdr:cNvPr>
        <xdr:cNvSpPr/>
      </xdr:nvSpPr>
      <xdr:spPr>
        <a:xfrm>
          <a:off x="5448300" y="66675"/>
          <a:ext cx="1409700" cy="46672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xdr:twoCellAnchor>
    <xdr:from>
      <xdr:col>2</xdr:col>
      <xdr:colOff>295275</xdr:colOff>
      <xdr:row>0</xdr:row>
      <xdr:rowOff>85725</xdr:rowOff>
    </xdr:from>
    <xdr:to>
      <xdr:col>2</xdr:col>
      <xdr:colOff>1676400</xdr:colOff>
      <xdr:row>2</xdr:row>
      <xdr:rowOff>85725</xdr:rowOff>
    </xdr:to>
    <xdr:sp macro="[0]!ServicesPP" textlink="">
      <xdr:nvSpPr>
        <xdr:cNvPr id="36" name="Arrow: Left 5">
          <a:extLst>
            <a:ext uri="{FF2B5EF4-FFF2-40B4-BE49-F238E27FC236}">
              <a16:creationId xmlns:a16="http://schemas.microsoft.com/office/drawing/2014/main" id="{00000000-0008-0000-0100-000024000000}"/>
            </a:ext>
            <a:ext uri="{147F2762-F138-4A5C-976F-8EAC2B608ADB}">
              <a16:predDERef xmlns:a16="http://schemas.microsoft.com/office/drawing/2014/main" pred="{72A41C7C-F1BB-45BD-8551-2C02B2330E02}"/>
            </a:ext>
          </a:extLst>
        </xdr:cNvPr>
        <xdr:cNvSpPr/>
      </xdr:nvSpPr>
      <xdr:spPr>
        <a:xfrm>
          <a:off x="3914775" y="85725"/>
          <a:ext cx="1381125" cy="42862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editAs="oneCell">
    <xdr:from>
      <xdr:col>5</xdr:col>
      <xdr:colOff>0</xdr:colOff>
      <xdr:row>0</xdr:row>
      <xdr:rowOff>0</xdr:rowOff>
    </xdr:from>
    <xdr:to>
      <xdr:col>6</xdr:col>
      <xdr:colOff>9525</xdr:colOff>
      <xdr:row>2</xdr:row>
      <xdr:rowOff>171450</xdr:rowOff>
    </xdr:to>
    <xdr:pic macro="[0]!PrintOutServicesArea">
      <xdr:nvPicPr>
        <xdr:cNvPr id="13" name="Graphic 12" descr="Printer with solid fill">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91375" y="0"/>
          <a:ext cx="600075" cy="600075"/>
        </a:xfrm>
        <a:prstGeom prst="rect">
          <a:avLst/>
        </a:prstGeom>
      </xdr:spPr>
    </xdr:pic>
    <xdr:clientData/>
  </xdr:twoCellAnchor>
  <xdr:twoCellAnchor editAs="oneCell">
    <xdr:from>
      <xdr:col>2</xdr:col>
      <xdr:colOff>545795</xdr:colOff>
      <xdr:row>4</xdr:row>
      <xdr:rowOff>57151</xdr:rowOff>
    </xdr:from>
    <xdr:to>
      <xdr:col>2</xdr:col>
      <xdr:colOff>1775053</xdr:colOff>
      <xdr:row>11</xdr:row>
      <xdr:rowOff>152401</xdr:rowOff>
    </xdr:to>
    <xdr:pic macro="[0]!Picture3_Click">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330395" y="857251"/>
          <a:ext cx="1229258" cy="1409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161926</xdr:colOff>
      <xdr:row>0</xdr:row>
      <xdr:rowOff>0</xdr:rowOff>
    </xdr:from>
    <xdr:to>
      <xdr:col>0</xdr:col>
      <xdr:colOff>1762126</xdr:colOff>
      <xdr:row>3</xdr:row>
      <xdr:rowOff>37027</xdr:rowOff>
    </xdr:to>
    <xdr:pic macro="[0]!Home">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6" y="0"/>
          <a:ext cx="1600200" cy="608527"/>
        </a:xfrm>
        <a:prstGeom prst="rect">
          <a:avLst/>
        </a:prstGeom>
      </xdr:spPr>
    </xdr:pic>
    <xdr:clientData/>
  </xdr:twoCellAnchor>
  <xdr:twoCellAnchor>
    <xdr:from>
      <xdr:col>2</xdr:col>
      <xdr:colOff>19050</xdr:colOff>
      <xdr:row>0</xdr:row>
      <xdr:rowOff>57150</xdr:rowOff>
    </xdr:from>
    <xdr:to>
      <xdr:col>2</xdr:col>
      <xdr:colOff>1400175</xdr:colOff>
      <xdr:row>2</xdr:row>
      <xdr:rowOff>104775</xdr:rowOff>
    </xdr:to>
    <xdr:sp macro="[0]!MembersPP" textlink="">
      <xdr:nvSpPr>
        <xdr:cNvPr id="4" name="Arrow: Left 5">
          <a:extLst>
            <a:ext uri="{FF2B5EF4-FFF2-40B4-BE49-F238E27FC236}">
              <a16:creationId xmlns:a16="http://schemas.microsoft.com/office/drawing/2014/main" id="{00000000-0008-0000-0200-000004000000}"/>
            </a:ext>
            <a:ext uri="{147F2762-F138-4A5C-976F-8EAC2B608ADB}">
              <a16:predDERef xmlns:a16="http://schemas.microsoft.com/office/drawing/2014/main" pred="{72A41C7C-F1BB-45BD-8551-2C02B2330E02}"/>
            </a:ext>
          </a:extLst>
        </xdr:cNvPr>
        <xdr:cNvSpPr/>
      </xdr:nvSpPr>
      <xdr:spPr>
        <a:xfrm>
          <a:off x="3343275" y="57150"/>
          <a:ext cx="1381125" cy="42862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3</xdr:col>
      <xdr:colOff>104775</xdr:colOff>
      <xdr:row>0</xdr:row>
      <xdr:rowOff>47625</xdr:rowOff>
    </xdr:from>
    <xdr:to>
      <xdr:col>3</xdr:col>
      <xdr:colOff>1514475</xdr:colOff>
      <xdr:row>2</xdr:row>
      <xdr:rowOff>133350</xdr:rowOff>
    </xdr:to>
    <xdr:sp macro="[0]!MembersNP" textlink="">
      <xdr:nvSpPr>
        <xdr:cNvPr id="5" name="Arrow: Right 3">
          <a:extLst>
            <a:ext uri="{FF2B5EF4-FFF2-40B4-BE49-F238E27FC236}">
              <a16:creationId xmlns:a16="http://schemas.microsoft.com/office/drawing/2014/main" id="{00000000-0008-0000-0200-000005000000}"/>
            </a:ext>
            <a:ext uri="{147F2762-F138-4A5C-976F-8EAC2B608ADB}">
              <a16:predDERef xmlns:a16="http://schemas.microsoft.com/office/drawing/2014/main" pred="{A702B357-8A4C-4913-8B3A-AA4CEB612882}"/>
            </a:ext>
          </a:extLst>
        </xdr:cNvPr>
        <xdr:cNvSpPr/>
      </xdr:nvSpPr>
      <xdr:spPr>
        <a:xfrm>
          <a:off x="4924425" y="47625"/>
          <a:ext cx="1409700" cy="46672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9</xdr:row>
          <xdr:rowOff>152400</xdr:rowOff>
        </xdr:from>
        <xdr:to>
          <xdr:col>12</xdr:col>
          <xdr:colOff>533400</xdr:colOff>
          <xdr:row>14</xdr:row>
          <xdr:rowOff>57150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352426</xdr:colOff>
      <xdr:row>0</xdr:row>
      <xdr:rowOff>9526</xdr:rowOff>
    </xdr:from>
    <xdr:to>
      <xdr:col>4</xdr:col>
      <xdr:colOff>885826</xdr:colOff>
      <xdr:row>2</xdr:row>
      <xdr:rowOff>154268</xdr:rowOff>
    </xdr:to>
    <xdr:pic macro="[1]!PrintOutInvoiceArea3">
      <xdr:nvPicPr>
        <xdr:cNvPr id="12" name="Graphic 11" descr="Printer with solid fill">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15176" y="9526"/>
          <a:ext cx="533400" cy="525742"/>
        </a:xfrm>
        <a:prstGeom prst="rect">
          <a:avLst/>
        </a:prstGeom>
      </xdr:spPr>
    </xdr:pic>
    <xdr:clientData/>
  </xdr:twoCellAnchor>
  <xdr:twoCellAnchor editAs="oneCell">
    <xdr:from>
      <xdr:col>5</xdr:col>
      <xdr:colOff>260350</xdr:colOff>
      <xdr:row>0</xdr:row>
      <xdr:rowOff>39149</xdr:rowOff>
    </xdr:from>
    <xdr:to>
      <xdr:col>5</xdr:col>
      <xdr:colOff>685281</xdr:colOff>
      <xdr:row>2</xdr:row>
      <xdr:rowOff>151805</xdr:rowOff>
    </xdr:to>
    <xdr:pic macro="[0]!calculator">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4"/>
        <a:stretch>
          <a:fillRect/>
        </a:stretch>
      </xdr:blipFill>
      <xdr:spPr>
        <a:xfrm>
          <a:off x="8610600" y="39149"/>
          <a:ext cx="424931" cy="487306"/>
        </a:xfrm>
        <a:prstGeom prst="rect">
          <a:avLst/>
        </a:prstGeom>
      </xdr:spPr>
    </xdr:pic>
    <xdr:clientData/>
  </xdr:twoCellAnchor>
  <xdr:twoCellAnchor editAs="oneCell">
    <xdr:from>
      <xdr:col>5</xdr:col>
      <xdr:colOff>1087797</xdr:colOff>
      <xdr:row>0</xdr:row>
      <xdr:rowOff>1</xdr:rowOff>
    </xdr:from>
    <xdr:to>
      <xdr:col>6</xdr:col>
      <xdr:colOff>385661</xdr:colOff>
      <xdr:row>2</xdr:row>
      <xdr:rowOff>138715</xdr:rowOff>
    </xdr:to>
    <xdr:pic macro="[0]!ZoomIn">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105443" y="1"/>
          <a:ext cx="518543" cy="527112"/>
        </a:xfrm>
        <a:prstGeom prst="rect">
          <a:avLst/>
        </a:prstGeom>
      </xdr:spPr>
    </xdr:pic>
    <xdr:clientData/>
  </xdr:twoCellAnchor>
  <xdr:twoCellAnchor editAs="oneCell">
    <xdr:from>
      <xdr:col>6</xdr:col>
      <xdr:colOff>439383</xdr:colOff>
      <xdr:row>0</xdr:row>
      <xdr:rowOff>0</xdr:rowOff>
    </xdr:from>
    <xdr:to>
      <xdr:col>6</xdr:col>
      <xdr:colOff>979560</xdr:colOff>
      <xdr:row>2</xdr:row>
      <xdr:rowOff>157209</xdr:rowOff>
    </xdr:to>
    <xdr:pic macro="[0]!ZoomOut">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677708" y="0"/>
          <a:ext cx="540177" cy="54560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514703</xdr:colOff>
      <xdr:row>5</xdr:row>
      <xdr:rowOff>9526</xdr:rowOff>
    </xdr:from>
    <xdr:to>
      <xdr:col>4</xdr:col>
      <xdr:colOff>495300</xdr:colOff>
      <xdr:row>9</xdr:row>
      <xdr:rowOff>27503</xdr:rowOff>
    </xdr:to>
    <xdr:pic macro="[0]!Home">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76828" y="962026"/>
          <a:ext cx="2076097" cy="789502"/>
        </a:xfrm>
        <a:prstGeom prst="rect">
          <a:avLst/>
        </a:prstGeom>
      </xdr:spPr>
    </xdr:pic>
    <xdr:clientData/>
  </xdr:twoCellAnchor>
  <xdr:twoCellAnchor>
    <xdr:from>
      <xdr:col>1</xdr:col>
      <xdr:colOff>180975</xdr:colOff>
      <xdr:row>2</xdr:row>
      <xdr:rowOff>9525</xdr:rowOff>
    </xdr:from>
    <xdr:to>
      <xdr:col>2</xdr:col>
      <xdr:colOff>323850</xdr:colOff>
      <xdr:row>4</xdr:row>
      <xdr:rowOff>114300</xdr:rowOff>
    </xdr:to>
    <xdr:sp macro="[0]!InvoicePP" textlink="">
      <xdr:nvSpPr>
        <xdr:cNvPr id="3" name="Arrow: Left 5">
          <a:extLst>
            <a:ext uri="{FF2B5EF4-FFF2-40B4-BE49-F238E27FC236}">
              <a16:creationId xmlns:a16="http://schemas.microsoft.com/office/drawing/2014/main" id="{00000000-0008-0000-0300-000003000000}"/>
            </a:ext>
            <a:ext uri="{147F2762-F138-4A5C-976F-8EAC2B608ADB}">
              <a16:predDERef xmlns:a16="http://schemas.microsoft.com/office/drawing/2014/main" pred="{72A41C7C-F1BB-45BD-8551-2C02B2330E02}"/>
            </a:ext>
          </a:extLst>
        </xdr:cNvPr>
        <xdr:cNvSpPr/>
      </xdr:nvSpPr>
      <xdr:spPr>
        <a:xfrm>
          <a:off x="752475" y="381000"/>
          <a:ext cx="1457325" cy="46672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4</xdr:col>
      <xdr:colOff>409575</xdr:colOff>
      <xdr:row>1</xdr:row>
      <xdr:rowOff>133350</xdr:rowOff>
    </xdr:from>
    <xdr:to>
      <xdr:col>5</xdr:col>
      <xdr:colOff>957263</xdr:colOff>
      <xdr:row>4</xdr:row>
      <xdr:rowOff>95250</xdr:rowOff>
    </xdr:to>
    <xdr:sp macro="[0]!InvoiceNP" textlink="">
      <xdr:nvSpPr>
        <xdr:cNvPr id="4" name="Arrow: Right 3">
          <a:extLst>
            <a:ext uri="{FF2B5EF4-FFF2-40B4-BE49-F238E27FC236}">
              <a16:creationId xmlns:a16="http://schemas.microsoft.com/office/drawing/2014/main" id="{00000000-0008-0000-0300-000004000000}"/>
            </a:ext>
            <a:ext uri="{147F2762-F138-4A5C-976F-8EAC2B608ADB}">
              <a16:predDERef xmlns:a16="http://schemas.microsoft.com/office/drawing/2014/main" pred="{A702B357-8A4C-4913-8B3A-AA4CEB612882}"/>
            </a:ext>
          </a:extLst>
        </xdr:cNvPr>
        <xdr:cNvSpPr/>
      </xdr:nvSpPr>
      <xdr:spPr>
        <a:xfrm>
          <a:off x="4538663" y="323850"/>
          <a:ext cx="1485900" cy="50482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mc:AlternateContent xmlns:mc="http://schemas.openxmlformats.org/markup-compatibility/2006">
    <mc:Choice xmlns:a14="http://schemas.microsoft.com/office/drawing/2010/main" Requires="a14">
      <xdr:twoCellAnchor>
        <xdr:from>
          <xdr:col>7</xdr:col>
          <xdr:colOff>19050</xdr:colOff>
          <xdr:row>6</xdr:row>
          <xdr:rowOff>190500</xdr:rowOff>
        </xdr:from>
        <xdr:to>
          <xdr:col>10</xdr:col>
          <xdr:colOff>0</xdr:colOff>
          <xdr:row>10</xdr:row>
          <xdr:rowOff>19050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Invoice to 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19050</xdr:rowOff>
        </xdr:from>
        <xdr:to>
          <xdr:col>10</xdr:col>
          <xdr:colOff>19050</xdr:colOff>
          <xdr:row>14</xdr:row>
          <xdr:rowOff>19050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 Content</a:t>
              </a:r>
            </a:p>
          </xdr:txBody>
        </xdr:sp>
        <xdr:clientData fPrintsWithSheet="0"/>
      </xdr:twoCellAnchor>
    </mc:Choice>
    <mc:Fallback/>
  </mc:AlternateContent>
  <xdr:twoCellAnchor editAs="oneCell">
    <xdr:from>
      <xdr:col>6</xdr:col>
      <xdr:colOff>41644</xdr:colOff>
      <xdr:row>1</xdr:row>
      <xdr:rowOff>31676</xdr:rowOff>
    </xdr:from>
    <xdr:to>
      <xdr:col>6</xdr:col>
      <xdr:colOff>551105</xdr:colOff>
      <xdr:row>3</xdr:row>
      <xdr:rowOff>142875</xdr:rowOff>
    </xdr:to>
    <xdr:pic macro="[0]!PrintOutInvoiceArea">
      <xdr:nvPicPr>
        <xdr:cNvPr id="7" name="Graphic 7" descr="Printer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899519" y="222176"/>
          <a:ext cx="509461" cy="511249"/>
        </a:xfrm>
        <a:prstGeom prst="rect">
          <a:avLst/>
        </a:prstGeom>
      </xdr:spPr>
    </xdr:pic>
    <xdr:clientData/>
  </xdr:twoCellAnchor>
  <xdr:twoCellAnchor editAs="oneCell">
    <xdr:from>
      <xdr:col>8</xdr:col>
      <xdr:colOff>171451</xdr:colOff>
      <xdr:row>1</xdr:row>
      <xdr:rowOff>26261</xdr:rowOff>
    </xdr:from>
    <xdr:to>
      <xdr:col>9</xdr:col>
      <xdr:colOff>114301</xdr:colOff>
      <xdr:row>4</xdr:row>
      <xdr:rowOff>107355</xdr:rowOff>
    </xdr:to>
    <xdr:pic macro="[0]!calculator">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7512051" y="216761"/>
          <a:ext cx="552450" cy="633544"/>
        </a:xfrm>
        <a:prstGeom prst="rect">
          <a:avLst/>
        </a:prstGeom>
      </xdr:spPr>
    </xdr:pic>
    <xdr:clientData/>
  </xdr:twoCellAnchor>
  <xdr:twoCellAnchor editAs="oneCell">
    <xdr:from>
      <xdr:col>9</xdr:col>
      <xdr:colOff>286753</xdr:colOff>
      <xdr:row>1</xdr:row>
      <xdr:rowOff>21056</xdr:rowOff>
    </xdr:from>
    <xdr:to>
      <xdr:col>10</xdr:col>
      <xdr:colOff>257675</xdr:colOff>
      <xdr:row>4</xdr:row>
      <xdr:rowOff>30078</xdr:rowOff>
    </xdr:to>
    <xdr:pic macro="[0]!ZoomIn">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944853" y="211556"/>
          <a:ext cx="580522" cy="580522"/>
        </a:xfrm>
        <a:prstGeom prst="rect">
          <a:avLst/>
        </a:prstGeom>
      </xdr:spPr>
    </xdr:pic>
    <xdr:clientData/>
  </xdr:twoCellAnchor>
  <xdr:twoCellAnchor editAs="oneCell">
    <xdr:from>
      <xdr:col>10</xdr:col>
      <xdr:colOff>162320</xdr:colOff>
      <xdr:row>1</xdr:row>
      <xdr:rowOff>31082</xdr:rowOff>
    </xdr:from>
    <xdr:to>
      <xdr:col>11</xdr:col>
      <xdr:colOff>157914</xdr:colOff>
      <xdr:row>4</xdr:row>
      <xdr:rowOff>59763</xdr:rowOff>
    </xdr:to>
    <xdr:pic macro="[0]!ZoomOut">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430020" y="221582"/>
          <a:ext cx="605194" cy="600181"/>
        </a:xfrm>
        <a:prstGeom prst="rect">
          <a:avLst/>
        </a:prstGeom>
      </xdr:spPr>
    </xdr:pic>
    <xdr:clientData/>
  </xdr:twoCellAnchor>
  <xdr:twoCellAnchor editAs="oneCell">
    <xdr:from>
      <xdr:col>6</xdr:col>
      <xdr:colOff>547686</xdr:colOff>
      <xdr:row>0</xdr:row>
      <xdr:rowOff>130968</xdr:rowOff>
    </xdr:from>
    <xdr:to>
      <xdr:col>8</xdr:col>
      <xdr:colOff>142873</xdr:colOff>
      <xdr:row>4</xdr:row>
      <xdr:rowOff>178592</xdr:rowOff>
    </xdr:to>
    <xdr:pic macro="[0]!SaveInvoice">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381749" y="130968"/>
          <a:ext cx="809624"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0</xdr:col>
      <xdr:colOff>1400175</xdr:colOff>
      <xdr:row>2</xdr:row>
      <xdr:rowOff>94310</xdr:rowOff>
    </xdr:to>
    <xdr:pic macro="[0]!Home">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1400175" cy="532460"/>
        </a:xfrm>
        <a:prstGeom prst="rect">
          <a:avLst/>
        </a:prstGeom>
      </xdr:spPr>
    </xdr:pic>
    <xdr:clientData/>
  </xdr:twoCellAnchor>
  <xdr:twoCellAnchor>
    <xdr:from>
      <xdr:col>3</xdr:col>
      <xdr:colOff>265704</xdr:colOff>
      <xdr:row>0</xdr:row>
      <xdr:rowOff>123540</xdr:rowOff>
    </xdr:from>
    <xdr:to>
      <xdr:col>4</xdr:col>
      <xdr:colOff>427403</xdr:colOff>
      <xdr:row>2</xdr:row>
      <xdr:rowOff>171165</xdr:rowOff>
    </xdr:to>
    <xdr:sp macro="[0]!TransactionsPP" textlink="">
      <xdr:nvSpPr>
        <xdr:cNvPr id="3" name="Arrow: Left 5">
          <a:extLst>
            <a:ext uri="{FF2B5EF4-FFF2-40B4-BE49-F238E27FC236}">
              <a16:creationId xmlns:a16="http://schemas.microsoft.com/office/drawing/2014/main" id="{00000000-0008-0000-0400-000003000000}"/>
            </a:ext>
            <a:ext uri="{147F2762-F138-4A5C-976F-8EAC2B608ADB}">
              <a16:predDERef xmlns:a16="http://schemas.microsoft.com/office/drawing/2014/main" pred="{72A41C7C-F1BB-45BD-8551-2C02B2330E02}"/>
            </a:ext>
          </a:extLst>
        </xdr:cNvPr>
        <xdr:cNvSpPr/>
      </xdr:nvSpPr>
      <xdr:spPr>
        <a:xfrm>
          <a:off x="3874214" y="123540"/>
          <a:ext cx="1358430" cy="511663"/>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4</xdr:col>
      <xdr:colOff>639739</xdr:colOff>
      <xdr:row>0</xdr:row>
      <xdr:rowOff>114015</xdr:rowOff>
    </xdr:from>
    <xdr:to>
      <xdr:col>5</xdr:col>
      <xdr:colOff>580314</xdr:colOff>
      <xdr:row>2</xdr:row>
      <xdr:rowOff>199740</xdr:rowOff>
    </xdr:to>
    <xdr:sp macro="[0]!TransactionsNP" textlink="">
      <xdr:nvSpPr>
        <xdr:cNvPr id="4" name="Arrow: Right 3">
          <a:extLst>
            <a:ext uri="{FF2B5EF4-FFF2-40B4-BE49-F238E27FC236}">
              <a16:creationId xmlns:a16="http://schemas.microsoft.com/office/drawing/2014/main" id="{00000000-0008-0000-0400-000004000000}"/>
            </a:ext>
            <a:ext uri="{147F2762-F138-4A5C-976F-8EAC2B608ADB}">
              <a16:predDERef xmlns:a16="http://schemas.microsoft.com/office/drawing/2014/main" pred="{A702B357-8A4C-4913-8B3A-AA4CEB612882}"/>
            </a:ext>
          </a:extLst>
        </xdr:cNvPr>
        <xdr:cNvSpPr/>
      </xdr:nvSpPr>
      <xdr:spPr>
        <a:xfrm>
          <a:off x="5032612" y="114015"/>
          <a:ext cx="1049456" cy="569083"/>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xdr:twoCellAnchor editAs="oneCell">
    <xdr:from>
      <xdr:col>6</xdr:col>
      <xdr:colOff>213247</xdr:colOff>
      <xdr:row>0</xdr:row>
      <xdr:rowOff>14218</xdr:rowOff>
    </xdr:from>
    <xdr:to>
      <xdr:col>6</xdr:col>
      <xdr:colOff>852985</xdr:colOff>
      <xdr:row>2</xdr:row>
      <xdr:rowOff>170598</xdr:rowOff>
    </xdr:to>
    <xdr:pic macro="[0]!PrintOutTransactionsArea">
      <xdr:nvPicPr>
        <xdr:cNvPr id="8" name="Graphic 7" descr="Printer with solid fill">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823881" y="14218"/>
          <a:ext cx="639738" cy="639738"/>
        </a:xfrm>
        <a:prstGeom prst="rect">
          <a:avLst/>
        </a:prstGeom>
      </xdr:spPr>
    </xdr:pic>
    <xdr:clientData/>
  </xdr:twoCellAnchor>
  <xdr:twoCellAnchor editAs="oneCell">
    <xdr:from>
      <xdr:col>7</xdr:col>
      <xdr:colOff>151642</xdr:colOff>
      <xdr:row>0</xdr:row>
      <xdr:rowOff>65617</xdr:rowOff>
    </xdr:from>
    <xdr:to>
      <xdr:col>7</xdr:col>
      <xdr:colOff>701343</xdr:colOff>
      <xdr:row>2</xdr:row>
      <xdr:rowOff>222127</xdr:rowOff>
    </xdr:to>
    <xdr:pic macro="[0]!calculator">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8207612" y="65617"/>
          <a:ext cx="549701" cy="630391"/>
        </a:xfrm>
        <a:prstGeom prst="rect">
          <a:avLst/>
        </a:prstGeom>
      </xdr:spPr>
    </xdr:pic>
    <xdr:clientData/>
  </xdr:twoCellAnchor>
  <xdr:twoCellAnchor editAs="oneCell">
    <xdr:from>
      <xdr:col>7</xdr:col>
      <xdr:colOff>1163053</xdr:colOff>
      <xdr:row>0</xdr:row>
      <xdr:rowOff>40106</xdr:rowOff>
    </xdr:from>
    <xdr:to>
      <xdr:col>8</xdr:col>
      <xdr:colOff>505325</xdr:colOff>
      <xdr:row>2</xdr:row>
      <xdr:rowOff>144378</xdr:rowOff>
    </xdr:to>
    <xdr:pic macro="[0]!ZoomIn">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24737" y="40106"/>
          <a:ext cx="585535" cy="585535"/>
        </a:xfrm>
        <a:prstGeom prst="rect">
          <a:avLst/>
        </a:prstGeom>
      </xdr:spPr>
    </xdr:pic>
    <xdr:clientData/>
  </xdr:twoCellAnchor>
  <xdr:twoCellAnchor editAs="oneCell">
    <xdr:from>
      <xdr:col>8</xdr:col>
      <xdr:colOff>457595</xdr:colOff>
      <xdr:row>0</xdr:row>
      <xdr:rowOff>50132</xdr:rowOff>
    </xdr:from>
    <xdr:to>
      <xdr:col>8</xdr:col>
      <xdr:colOff>1062789</xdr:colOff>
      <xdr:row>2</xdr:row>
      <xdr:rowOff>174063</xdr:rowOff>
    </xdr:to>
    <xdr:pic macro="[0]!ZoomOut">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62542" y="50132"/>
          <a:ext cx="605194" cy="60519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257175</xdr:colOff>
      <xdr:row>0</xdr:row>
      <xdr:rowOff>57150</xdr:rowOff>
    </xdr:from>
    <xdr:to>
      <xdr:col>0</xdr:col>
      <xdr:colOff>1657350</xdr:colOff>
      <xdr:row>2</xdr:row>
      <xdr:rowOff>160985</xdr:rowOff>
    </xdr:to>
    <xdr:pic macro="[0]!Home">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7175" y="57150"/>
          <a:ext cx="1400175" cy="532460"/>
        </a:xfrm>
        <a:prstGeom prst="rect">
          <a:avLst/>
        </a:prstGeom>
      </xdr:spPr>
    </xdr:pic>
    <xdr:clientData/>
  </xdr:twoCellAnchor>
  <xdr:twoCellAnchor>
    <xdr:from>
      <xdr:col>2</xdr:col>
      <xdr:colOff>123825</xdr:colOff>
      <xdr:row>0</xdr:row>
      <xdr:rowOff>104775</xdr:rowOff>
    </xdr:from>
    <xdr:to>
      <xdr:col>2</xdr:col>
      <xdr:colOff>1504950</xdr:colOff>
      <xdr:row>2</xdr:row>
      <xdr:rowOff>104775</xdr:rowOff>
    </xdr:to>
    <xdr:sp macro="[0]!AnalyticsPP" textlink="">
      <xdr:nvSpPr>
        <xdr:cNvPr id="3" name="Arrow: Left 5">
          <a:extLst>
            <a:ext uri="{FF2B5EF4-FFF2-40B4-BE49-F238E27FC236}">
              <a16:creationId xmlns:a16="http://schemas.microsoft.com/office/drawing/2014/main" id="{00000000-0008-0000-0500-000003000000}"/>
            </a:ext>
            <a:ext uri="{147F2762-F138-4A5C-976F-8EAC2B608ADB}">
              <a16:predDERef xmlns:a16="http://schemas.microsoft.com/office/drawing/2014/main" pred="{72A41C7C-F1BB-45BD-8551-2C02B2330E02}"/>
            </a:ext>
          </a:extLst>
        </xdr:cNvPr>
        <xdr:cNvSpPr/>
      </xdr:nvSpPr>
      <xdr:spPr>
        <a:xfrm>
          <a:off x="3724275" y="104775"/>
          <a:ext cx="1381125" cy="42862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3</xdr:col>
      <xdr:colOff>238125</xdr:colOff>
      <xdr:row>0</xdr:row>
      <xdr:rowOff>76200</xdr:rowOff>
    </xdr:from>
    <xdr:to>
      <xdr:col>3</xdr:col>
      <xdr:colOff>1647825</xdr:colOff>
      <xdr:row>2</xdr:row>
      <xdr:rowOff>114300</xdr:rowOff>
    </xdr:to>
    <xdr:sp macro="[0]!AnalyticsNP" textlink="">
      <xdr:nvSpPr>
        <xdr:cNvPr id="5" name="Arrow: Right 4">
          <a:extLst>
            <a:ext uri="{FF2B5EF4-FFF2-40B4-BE49-F238E27FC236}">
              <a16:creationId xmlns:a16="http://schemas.microsoft.com/office/drawing/2014/main" id="{00000000-0008-0000-0500-000005000000}"/>
            </a:ext>
            <a:ext uri="{147F2762-F138-4A5C-976F-8EAC2B608ADB}">
              <a16:predDERef xmlns:a16="http://schemas.microsoft.com/office/drawing/2014/main" pred="{A702B357-8A4C-4913-8B3A-AA4CEB612882}"/>
            </a:ext>
          </a:extLst>
        </xdr:cNvPr>
        <xdr:cNvSpPr/>
      </xdr:nvSpPr>
      <xdr:spPr>
        <a:xfrm>
          <a:off x="5638800" y="76200"/>
          <a:ext cx="1409700" cy="46672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xdr:twoCellAnchor editAs="oneCell">
    <xdr:from>
      <xdr:col>5</xdr:col>
      <xdr:colOff>38100</xdr:colOff>
      <xdr:row>0</xdr:row>
      <xdr:rowOff>19050</xdr:rowOff>
    </xdr:from>
    <xdr:to>
      <xdr:col>5</xdr:col>
      <xdr:colOff>600075</xdr:colOff>
      <xdr:row>2</xdr:row>
      <xdr:rowOff>152400</xdr:rowOff>
    </xdr:to>
    <xdr:pic macro="[0]!PrintOutAnalyticsArea">
      <xdr:nvPicPr>
        <xdr:cNvPr id="7" name="Graphic 6" descr="Printer with solid fill">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877175" y="19050"/>
          <a:ext cx="561975" cy="561975"/>
        </a:xfrm>
        <a:prstGeom prst="rect">
          <a:avLst/>
        </a:prstGeom>
      </xdr:spPr>
    </xdr:pic>
    <xdr:clientData/>
  </xdr:twoCellAnchor>
  <xdr:twoCellAnchor editAs="oneCell">
    <xdr:from>
      <xdr:col>2</xdr:col>
      <xdr:colOff>863600</xdr:colOff>
      <xdr:row>11</xdr:row>
      <xdr:rowOff>84123</xdr:rowOff>
    </xdr:from>
    <xdr:to>
      <xdr:col>2</xdr:col>
      <xdr:colOff>1799705</xdr:colOff>
      <xdr:row>17</xdr:row>
      <xdr:rowOff>107354</xdr:rowOff>
    </xdr:to>
    <xdr:pic macro="[0]!calculator">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stretch>
          <a:fillRect/>
        </a:stretch>
      </xdr:blipFill>
      <xdr:spPr>
        <a:xfrm>
          <a:off x="4635500" y="2357423"/>
          <a:ext cx="983730" cy="1128131"/>
        </a:xfrm>
        <a:prstGeom prst="rect">
          <a:avLst/>
        </a:prstGeom>
      </xdr:spPr>
    </xdr:pic>
    <xdr:clientData/>
  </xdr:twoCellAnchor>
  <xdr:twoCellAnchor editAs="oneCell">
    <xdr:from>
      <xdr:col>5</xdr:col>
      <xdr:colOff>1163053</xdr:colOff>
      <xdr:row>0</xdr:row>
      <xdr:rowOff>40106</xdr:rowOff>
    </xdr:from>
    <xdr:to>
      <xdr:col>6</xdr:col>
      <xdr:colOff>581525</xdr:colOff>
      <xdr:row>3</xdr:row>
      <xdr:rowOff>1503</xdr:rowOff>
    </xdr:to>
    <xdr:pic macro="[0]!ZoomIn">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30753" y="40106"/>
          <a:ext cx="580522" cy="580522"/>
        </a:xfrm>
        <a:prstGeom prst="rect">
          <a:avLst/>
        </a:prstGeom>
      </xdr:spPr>
    </xdr:pic>
    <xdr:clientData/>
  </xdr:twoCellAnchor>
  <xdr:twoCellAnchor editAs="oneCell">
    <xdr:from>
      <xdr:col>6</xdr:col>
      <xdr:colOff>457595</xdr:colOff>
      <xdr:row>0</xdr:row>
      <xdr:rowOff>50132</xdr:rowOff>
    </xdr:from>
    <xdr:to>
      <xdr:col>7</xdr:col>
      <xdr:colOff>453189</xdr:colOff>
      <xdr:row>3</xdr:row>
      <xdr:rowOff>21663</xdr:rowOff>
    </xdr:to>
    <xdr:pic macro="[0]!ZoomOut">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63545" y="50132"/>
          <a:ext cx="605194" cy="6001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133352</xdr:colOff>
      <xdr:row>0</xdr:row>
      <xdr:rowOff>19050</xdr:rowOff>
    </xdr:from>
    <xdr:to>
      <xdr:col>1</xdr:col>
      <xdr:colOff>2</xdr:colOff>
      <xdr:row>3</xdr:row>
      <xdr:rowOff>40532</xdr:rowOff>
    </xdr:to>
    <xdr:pic macro="[0]!Home">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2" y="19050"/>
          <a:ext cx="1466850" cy="564407"/>
        </a:xfrm>
        <a:prstGeom prst="rect">
          <a:avLst/>
        </a:prstGeom>
      </xdr:spPr>
    </xdr:pic>
    <xdr:clientData/>
  </xdr:twoCellAnchor>
  <xdr:twoCellAnchor>
    <xdr:from>
      <xdr:col>3</xdr:col>
      <xdr:colOff>0</xdr:colOff>
      <xdr:row>0</xdr:row>
      <xdr:rowOff>57151</xdr:rowOff>
    </xdr:from>
    <xdr:to>
      <xdr:col>4</xdr:col>
      <xdr:colOff>1347787</xdr:colOff>
      <xdr:row>2</xdr:row>
      <xdr:rowOff>142876</xdr:rowOff>
    </xdr:to>
    <xdr:sp macro="[0]!InventoryNP" textlink="">
      <xdr:nvSpPr>
        <xdr:cNvPr id="4" name="Arrow: Right 3">
          <a:extLst>
            <a:ext uri="{FF2B5EF4-FFF2-40B4-BE49-F238E27FC236}">
              <a16:creationId xmlns:a16="http://schemas.microsoft.com/office/drawing/2014/main" id="{00000000-0008-0000-0600-000004000000}"/>
            </a:ext>
            <a:ext uri="{147F2762-F138-4A5C-976F-8EAC2B608ADB}">
              <a16:predDERef xmlns:a16="http://schemas.microsoft.com/office/drawing/2014/main" pred="{A702B357-8A4C-4913-8B3A-AA4CEB612882}"/>
            </a:ext>
          </a:extLst>
        </xdr:cNvPr>
        <xdr:cNvSpPr/>
      </xdr:nvSpPr>
      <xdr:spPr>
        <a:xfrm>
          <a:off x="5186363" y="57151"/>
          <a:ext cx="1347787" cy="44767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xdr:twoCellAnchor>
    <xdr:from>
      <xdr:col>2</xdr:col>
      <xdr:colOff>76200</xdr:colOff>
      <xdr:row>0</xdr:row>
      <xdr:rowOff>61913</xdr:rowOff>
    </xdr:from>
    <xdr:to>
      <xdr:col>2</xdr:col>
      <xdr:colOff>1457325</xdr:colOff>
      <xdr:row>2</xdr:row>
      <xdr:rowOff>109538</xdr:rowOff>
    </xdr:to>
    <xdr:sp macro="[0]!InventoryPP" textlink="">
      <xdr:nvSpPr>
        <xdr:cNvPr id="5" name="Arrow: Left 5">
          <a:extLst>
            <a:ext uri="{FF2B5EF4-FFF2-40B4-BE49-F238E27FC236}">
              <a16:creationId xmlns:a16="http://schemas.microsoft.com/office/drawing/2014/main" id="{00000000-0008-0000-0600-000005000000}"/>
            </a:ext>
            <a:ext uri="{147F2762-F138-4A5C-976F-8EAC2B608ADB}">
              <a16:predDERef xmlns:a16="http://schemas.microsoft.com/office/drawing/2014/main" pred="{72A41C7C-F1BB-45BD-8551-2C02B2330E02}"/>
            </a:ext>
          </a:extLst>
        </xdr:cNvPr>
        <xdr:cNvSpPr/>
      </xdr:nvSpPr>
      <xdr:spPr>
        <a:xfrm>
          <a:off x="3443288" y="61913"/>
          <a:ext cx="1381125" cy="40957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0</xdr:col>
      <xdr:colOff>546100</xdr:colOff>
      <xdr:row>22</xdr:row>
      <xdr:rowOff>114300</xdr:rowOff>
    </xdr:from>
    <xdr:to>
      <xdr:col>2</xdr:col>
      <xdr:colOff>1689100</xdr:colOff>
      <xdr:row>42</xdr:row>
      <xdr:rowOff>31750</xdr:rowOff>
    </xdr:to>
    <xdr:graphicFrame macro="">
      <xdr:nvGraphicFramePr>
        <xdr:cNvPr id="6" name="Chart 1">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19050</xdr:colOff>
          <xdr:row>7</xdr:row>
          <xdr:rowOff>19050</xdr:rowOff>
        </xdr:from>
        <xdr:to>
          <xdr:col>14</xdr:col>
          <xdr:colOff>38100</xdr:colOff>
          <xdr:row>11</xdr:row>
          <xdr:rowOff>190500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Lowest Stock On Bottom Of List</a:t>
              </a:r>
            </a:p>
          </xdr:txBody>
        </xdr:sp>
        <xdr:clientData fPrintsWithSheet="0"/>
      </xdr:twoCellAnchor>
    </mc:Choice>
    <mc:Fallback/>
  </mc:AlternateContent>
  <xdr:twoCellAnchor editAs="oneCell">
    <xdr:from>
      <xdr:col>5</xdr:col>
      <xdr:colOff>257175</xdr:colOff>
      <xdr:row>0</xdr:row>
      <xdr:rowOff>19050</xdr:rowOff>
    </xdr:from>
    <xdr:to>
      <xdr:col>5</xdr:col>
      <xdr:colOff>809625</xdr:colOff>
      <xdr:row>3</xdr:row>
      <xdr:rowOff>4763</xdr:rowOff>
    </xdr:to>
    <xdr:pic macro="[0]!PrintOutInventoryArea">
      <xdr:nvPicPr>
        <xdr:cNvPr id="10" name="Graphic 9" descr="Printer with solid fill">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791325" y="19050"/>
          <a:ext cx="552450" cy="552450"/>
        </a:xfrm>
        <a:prstGeom prst="rect">
          <a:avLst/>
        </a:prstGeom>
      </xdr:spPr>
    </xdr:pic>
    <xdr:clientData/>
  </xdr:twoCellAnchor>
  <xdr:twoCellAnchor editAs="oneCell">
    <xdr:from>
      <xdr:col>7</xdr:col>
      <xdr:colOff>204825</xdr:colOff>
      <xdr:row>23</xdr:row>
      <xdr:rowOff>152400</xdr:rowOff>
    </xdr:from>
    <xdr:to>
      <xdr:col>8</xdr:col>
      <xdr:colOff>323330</xdr:colOff>
      <xdr:row>32</xdr:row>
      <xdr:rowOff>88305</xdr:rowOff>
    </xdr:to>
    <xdr:pic macro="[0]!calculator">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5"/>
        <a:stretch>
          <a:fillRect/>
        </a:stretch>
      </xdr:blipFill>
      <xdr:spPr>
        <a:xfrm>
          <a:off x="8148675" y="4400550"/>
          <a:ext cx="1394855" cy="1599605"/>
        </a:xfrm>
        <a:prstGeom prst="rect">
          <a:avLst/>
        </a:prstGeom>
      </xdr:spPr>
    </xdr:pic>
    <xdr:clientData/>
  </xdr:twoCellAnchor>
  <xdr:twoCellAnchor editAs="oneCell">
    <xdr:from>
      <xdr:col>7</xdr:col>
      <xdr:colOff>96752</xdr:colOff>
      <xdr:row>0</xdr:row>
      <xdr:rowOff>40106</xdr:rowOff>
    </xdr:from>
    <xdr:to>
      <xdr:col>7</xdr:col>
      <xdr:colOff>580521</xdr:colOff>
      <xdr:row>2</xdr:row>
      <xdr:rowOff>142875</xdr:rowOff>
    </xdr:to>
    <xdr:pic macro="[0]!ZoomIn">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92952" y="40106"/>
          <a:ext cx="483769" cy="483769"/>
        </a:xfrm>
        <a:prstGeom prst="rect">
          <a:avLst/>
        </a:prstGeom>
      </xdr:spPr>
    </xdr:pic>
    <xdr:clientData/>
  </xdr:twoCellAnchor>
  <xdr:twoCellAnchor editAs="oneCell">
    <xdr:from>
      <xdr:col>7</xdr:col>
      <xdr:colOff>590549</xdr:colOff>
      <xdr:row>0</xdr:row>
      <xdr:rowOff>50132</xdr:rowOff>
    </xdr:from>
    <xdr:to>
      <xdr:col>7</xdr:col>
      <xdr:colOff>1062788</xdr:colOff>
      <xdr:row>2</xdr:row>
      <xdr:rowOff>137459</xdr:rowOff>
    </xdr:to>
    <xdr:pic macro="[0]!ZoomOut">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286749" y="50132"/>
          <a:ext cx="472239" cy="468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57150</xdr:rowOff>
    </xdr:from>
    <xdr:to>
      <xdr:col>0</xdr:col>
      <xdr:colOff>1524000</xdr:colOff>
      <xdr:row>2</xdr:row>
      <xdr:rowOff>208610</xdr:rowOff>
    </xdr:to>
    <xdr:pic macro="[0]!Home">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7150"/>
          <a:ext cx="1400175" cy="532460"/>
        </a:xfrm>
        <a:prstGeom prst="rect">
          <a:avLst/>
        </a:prstGeom>
      </xdr:spPr>
    </xdr:pic>
    <xdr:clientData/>
  </xdr:twoCellAnchor>
  <xdr:twoCellAnchor>
    <xdr:from>
      <xdr:col>2</xdr:col>
      <xdr:colOff>123825</xdr:colOff>
      <xdr:row>0</xdr:row>
      <xdr:rowOff>76200</xdr:rowOff>
    </xdr:from>
    <xdr:to>
      <xdr:col>3</xdr:col>
      <xdr:colOff>276225</xdr:colOff>
      <xdr:row>2</xdr:row>
      <xdr:rowOff>123825</xdr:rowOff>
    </xdr:to>
    <xdr:sp macro="[0]!SuppliersPP" textlink="">
      <xdr:nvSpPr>
        <xdr:cNvPr id="4" name="Arrow: Left 5">
          <a:extLst>
            <a:ext uri="{FF2B5EF4-FFF2-40B4-BE49-F238E27FC236}">
              <a16:creationId xmlns:a16="http://schemas.microsoft.com/office/drawing/2014/main" id="{00000000-0008-0000-0700-000004000000}"/>
            </a:ext>
            <a:ext uri="{147F2762-F138-4A5C-976F-8EAC2B608ADB}">
              <a16:predDERef xmlns:a16="http://schemas.microsoft.com/office/drawing/2014/main" pred="{72A41C7C-F1BB-45BD-8551-2C02B2330E02}"/>
            </a:ext>
          </a:extLst>
        </xdr:cNvPr>
        <xdr:cNvSpPr/>
      </xdr:nvSpPr>
      <xdr:spPr>
        <a:xfrm>
          <a:off x="3514725" y="76200"/>
          <a:ext cx="1381125" cy="42862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3</xdr:col>
      <xdr:colOff>571500</xdr:colOff>
      <xdr:row>0</xdr:row>
      <xdr:rowOff>66675</xdr:rowOff>
    </xdr:from>
    <xdr:to>
      <xdr:col>4</xdr:col>
      <xdr:colOff>752475</xdr:colOff>
      <xdr:row>2</xdr:row>
      <xdr:rowOff>152400</xdr:rowOff>
    </xdr:to>
    <xdr:sp macro="[0]!SuppliersNP" textlink="">
      <xdr:nvSpPr>
        <xdr:cNvPr id="5" name="Arrow: Right 4">
          <a:extLst>
            <a:ext uri="{FF2B5EF4-FFF2-40B4-BE49-F238E27FC236}">
              <a16:creationId xmlns:a16="http://schemas.microsoft.com/office/drawing/2014/main" id="{00000000-0008-0000-0700-000005000000}"/>
            </a:ext>
            <a:ext uri="{147F2762-F138-4A5C-976F-8EAC2B608ADB}">
              <a16:predDERef xmlns:a16="http://schemas.microsoft.com/office/drawing/2014/main" pred="{A702B357-8A4C-4913-8B3A-AA4CEB612882}"/>
            </a:ext>
          </a:extLst>
        </xdr:cNvPr>
        <xdr:cNvSpPr/>
      </xdr:nvSpPr>
      <xdr:spPr>
        <a:xfrm>
          <a:off x="5191125" y="66675"/>
          <a:ext cx="1409700" cy="46672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xdr:twoCellAnchor editAs="oneCell">
    <xdr:from>
      <xdr:col>5</xdr:col>
      <xdr:colOff>31750</xdr:colOff>
      <xdr:row>0</xdr:row>
      <xdr:rowOff>0</xdr:rowOff>
    </xdr:from>
    <xdr:to>
      <xdr:col>5</xdr:col>
      <xdr:colOff>635000</xdr:colOff>
      <xdr:row>2</xdr:row>
      <xdr:rowOff>222250</xdr:rowOff>
    </xdr:to>
    <xdr:pic macro="[0]!PrintOutSuppliersArea">
      <xdr:nvPicPr>
        <xdr:cNvPr id="7" name="Graphic 6" descr="Printer with solid fill">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937500" y="0"/>
          <a:ext cx="603250" cy="603250"/>
        </a:xfrm>
        <a:prstGeom prst="rect">
          <a:avLst/>
        </a:prstGeom>
      </xdr:spPr>
    </xdr:pic>
    <xdr:clientData/>
  </xdr:twoCellAnchor>
  <xdr:twoCellAnchor editAs="oneCell">
    <xdr:from>
      <xdr:col>6</xdr:col>
      <xdr:colOff>268111</xdr:colOff>
      <xdr:row>0</xdr:row>
      <xdr:rowOff>56897</xdr:rowOff>
    </xdr:from>
    <xdr:to>
      <xdr:col>6</xdr:col>
      <xdr:colOff>716325</xdr:colOff>
      <xdr:row>2</xdr:row>
      <xdr:rowOff>204015</xdr:rowOff>
    </xdr:to>
    <xdr:pic macro="[0]!calculator">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4"/>
        <a:stretch>
          <a:fillRect/>
        </a:stretch>
      </xdr:blipFill>
      <xdr:spPr>
        <a:xfrm>
          <a:off x="9228667" y="56897"/>
          <a:ext cx="448214" cy="5140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19050</xdr:colOff>
          <xdr:row>5</xdr:row>
          <xdr:rowOff>19050</xdr:rowOff>
        </xdr:from>
        <xdr:to>
          <xdr:col>13</xdr:col>
          <xdr:colOff>9525</xdr:colOff>
          <xdr:row>9</xdr:row>
          <xdr:rowOff>19050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1163053</xdr:colOff>
      <xdr:row>0</xdr:row>
      <xdr:rowOff>40106</xdr:rowOff>
    </xdr:from>
    <xdr:to>
      <xdr:col>7</xdr:col>
      <xdr:colOff>276725</xdr:colOff>
      <xdr:row>3</xdr:row>
      <xdr:rowOff>1503</xdr:rowOff>
    </xdr:to>
    <xdr:pic macro="[0]!ZoomIn">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30753" y="40106"/>
          <a:ext cx="580522" cy="580522"/>
        </a:xfrm>
        <a:prstGeom prst="rect">
          <a:avLst/>
        </a:prstGeom>
      </xdr:spPr>
    </xdr:pic>
    <xdr:clientData/>
  </xdr:twoCellAnchor>
  <xdr:twoCellAnchor editAs="oneCell">
    <xdr:from>
      <xdr:col>7</xdr:col>
      <xdr:colOff>457595</xdr:colOff>
      <xdr:row>0</xdr:row>
      <xdr:rowOff>50132</xdr:rowOff>
    </xdr:from>
    <xdr:to>
      <xdr:col>10</xdr:col>
      <xdr:colOff>338889</xdr:colOff>
      <xdr:row>3</xdr:row>
      <xdr:rowOff>31188</xdr:rowOff>
    </xdr:to>
    <xdr:pic macro="[0]!ZoomOut">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63545" y="50132"/>
          <a:ext cx="605194" cy="60018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123825</xdr:colOff>
      <xdr:row>0</xdr:row>
      <xdr:rowOff>57150</xdr:rowOff>
    </xdr:from>
    <xdr:to>
      <xdr:col>0</xdr:col>
      <xdr:colOff>1524000</xdr:colOff>
      <xdr:row>2</xdr:row>
      <xdr:rowOff>160985</xdr:rowOff>
    </xdr:to>
    <xdr:pic macro="[0]!Home">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57150"/>
          <a:ext cx="1400175" cy="532460"/>
        </a:xfrm>
        <a:prstGeom prst="rect">
          <a:avLst/>
        </a:prstGeom>
      </xdr:spPr>
    </xdr:pic>
    <xdr:clientData/>
  </xdr:twoCellAnchor>
  <xdr:twoCellAnchor>
    <xdr:from>
      <xdr:col>2</xdr:col>
      <xdr:colOff>296883</xdr:colOff>
      <xdr:row>0</xdr:row>
      <xdr:rowOff>57150</xdr:rowOff>
    </xdr:from>
    <xdr:to>
      <xdr:col>3</xdr:col>
      <xdr:colOff>638175</xdr:colOff>
      <xdr:row>2</xdr:row>
      <xdr:rowOff>104775</xdr:rowOff>
    </xdr:to>
    <xdr:sp macro="[0]!EmployeesPP" textlink="">
      <xdr:nvSpPr>
        <xdr:cNvPr id="9" name="Arrow: Left 5">
          <a:extLst>
            <a:ext uri="{FF2B5EF4-FFF2-40B4-BE49-F238E27FC236}">
              <a16:creationId xmlns:a16="http://schemas.microsoft.com/office/drawing/2014/main" id="{00000000-0008-0000-0800-000009000000}"/>
            </a:ext>
            <a:ext uri="{147F2762-F138-4A5C-976F-8EAC2B608ADB}">
              <a16:predDERef xmlns:a16="http://schemas.microsoft.com/office/drawing/2014/main" pred="{72A41C7C-F1BB-45BD-8551-2C02B2330E02}"/>
            </a:ext>
          </a:extLst>
        </xdr:cNvPr>
        <xdr:cNvSpPr/>
      </xdr:nvSpPr>
      <xdr:spPr>
        <a:xfrm>
          <a:off x="3890406" y="57150"/>
          <a:ext cx="1584490" cy="406359"/>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4</xdr:col>
      <xdr:colOff>142875</xdr:colOff>
      <xdr:row>0</xdr:row>
      <xdr:rowOff>47625</xdr:rowOff>
    </xdr:from>
    <xdr:to>
      <xdr:col>4</xdr:col>
      <xdr:colOff>1552575</xdr:colOff>
      <xdr:row>2</xdr:row>
      <xdr:rowOff>133350</xdr:rowOff>
    </xdr:to>
    <xdr:sp macro="[0]!EmployeesNP" textlink="">
      <xdr:nvSpPr>
        <xdr:cNvPr id="10" name="Arrow: Right 9">
          <a:extLst>
            <a:ext uri="{FF2B5EF4-FFF2-40B4-BE49-F238E27FC236}">
              <a16:creationId xmlns:a16="http://schemas.microsoft.com/office/drawing/2014/main" id="{00000000-0008-0000-0800-00000A000000}"/>
            </a:ext>
            <a:ext uri="{147F2762-F138-4A5C-976F-8EAC2B608ADB}">
              <a16:predDERef xmlns:a16="http://schemas.microsoft.com/office/drawing/2014/main" pred="{A702B357-8A4C-4913-8B3A-AA4CEB612882}"/>
            </a:ext>
          </a:extLst>
        </xdr:cNvPr>
        <xdr:cNvSpPr/>
      </xdr:nvSpPr>
      <xdr:spPr>
        <a:xfrm>
          <a:off x="4972050" y="47625"/>
          <a:ext cx="1409700" cy="466725"/>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mc:AlternateContent xmlns:mc="http://schemas.openxmlformats.org/markup-compatibility/2006">
    <mc:Choice xmlns:a14="http://schemas.microsoft.com/office/drawing/2010/main" Requires="a14">
      <xdr:twoCellAnchor editAs="oneCell">
        <xdr:from>
          <xdr:col>13</xdr:col>
          <xdr:colOff>142875</xdr:colOff>
          <xdr:row>5</xdr:row>
          <xdr:rowOff>76200</xdr:rowOff>
        </xdr:from>
        <xdr:to>
          <xdr:col>14</xdr:col>
          <xdr:colOff>14288</xdr:colOff>
          <xdr:row>9</xdr:row>
          <xdr:rowOff>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258536</xdr:colOff>
      <xdr:row>0</xdr:row>
      <xdr:rowOff>0</xdr:rowOff>
    </xdr:from>
    <xdr:to>
      <xdr:col>5</xdr:col>
      <xdr:colOff>843643</xdr:colOff>
      <xdr:row>3</xdr:row>
      <xdr:rowOff>13607</xdr:rowOff>
    </xdr:to>
    <xdr:pic macro="[0]!PrintOutEmployeesArea">
      <xdr:nvPicPr>
        <xdr:cNvPr id="7" name="Graphic 6" descr="Printer with solid fill">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034893" y="0"/>
          <a:ext cx="585107" cy="585107"/>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752475</xdr:colOff>
          <xdr:row>13</xdr:row>
          <xdr:rowOff>171450</xdr:rowOff>
        </xdr:from>
        <xdr:to>
          <xdr:col>14</xdr:col>
          <xdr:colOff>38100</xdr:colOff>
          <xdr:row>17</xdr:row>
          <xdr:rowOff>161925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Transfer New Employee Information</a:t>
              </a:r>
            </a:p>
          </xdr:txBody>
        </xdr:sp>
        <xdr:clientData fPrintsWithSheet="0"/>
      </xdr:twoCellAnchor>
    </mc:Choice>
    <mc:Fallback/>
  </mc:AlternateContent>
  <xdr:twoCellAnchor editAs="oneCell">
    <xdr:from>
      <xdr:col>6</xdr:col>
      <xdr:colOff>242794</xdr:colOff>
      <xdr:row>0</xdr:row>
      <xdr:rowOff>29215</xdr:rowOff>
    </xdr:from>
    <xdr:to>
      <xdr:col>6</xdr:col>
      <xdr:colOff>697234</xdr:colOff>
      <xdr:row>2</xdr:row>
      <xdr:rowOff>176833</xdr:rowOff>
    </xdr:to>
    <xdr:pic macro="[0]!calculator">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4"/>
        <a:stretch>
          <a:fillRect/>
        </a:stretch>
      </xdr:blipFill>
      <xdr:spPr>
        <a:xfrm>
          <a:off x="8441765" y="29215"/>
          <a:ext cx="454440" cy="521147"/>
        </a:xfrm>
        <a:prstGeom prst="rect">
          <a:avLst/>
        </a:prstGeom>
      </xdr:spPr>
    </xdr:pic>
    <xdr:clientData/>
  </xdr:twoCellAnchor>
  <xdr:twoCellAnchor editAs="oneCell">
    <xdr:from>
      <xdr:col>7</xdr:col>
      <xdr:colOff>78705</xdr:colOff>
      <xdr:row>0</xdr:row>
      <xdr:rowOff>40106</xdr:rowOff>
    </xdr:from>
    <xdr:to>
      <xdr:col>7</xdr:col>
      <xdr:colOff>581524</xdr:colOff>
      <xdr:row>2</xdr:row>
      <xdr:rowOff>161925</xdr:rowOff>
    </xdr:to>
    <xdr:pic macro="[0]!ZoomIn">
      <xdr:nvPicPr>
        <xdr:cNvPr id="11" name="Picture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679905" y="40106"/>
          <a:ext cx="502819" cy="502819"/>
        </a:xfrm>
        <a:prstGeom prst="rect">
          <a:avLst/>
        </a:prstGeom>
      </xdr:spPr>
    </xdr:pic>
    <xdr:clientData/>
  </xdr:twoCellAnchor>
  <xdr:twoCellAnchor editAs="oneCell">
    <xdr:from>
      <xdr:col>7</xdr:col>
      <xdr:colOff>537065</xdr:colOff>
      <xdr:row>0</xdr:row>
      <xdr:rowOff>50133</xdr:rowOff>
    </xdr:from>
    <xdr:to>
      <xdr:col>7</xdr:col>
      <xdr:colOff>1062788</xdr:colOff>
      <xdr:row>3</xdr:row>
      <xdr:rowOff>1</xdr:rowOff>
    </xdr:to>
    <xdr:pic macro="[0]!ZoomOut">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138265" y="50133"/>
          <a:ext cx="525723" cy="52136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171450</xdr:colOff>
      <xdr:row>0</xdr:row>
      <xdr:rowOff>66675</xdr:rowOff>
    </xdr:from>
    <xdr:to>
      <xdr:col>0</xdr:col>
      <xdr:colOff>1571625</xdr:colOff>
      <xdr:row>2</xdr:row>
      <xdr:rowOff>170510</xdr:rowOff>
    </xdr:to>
    <xdr:pic macro="[0]!Home">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66675"/>
          <a:ext cx="1400175" cy="484835"/>
        </a:xfrm>
        <a:prstGeom prst="rect">
          <a:avLst/>
        </a:prstGeom>
      </xdr:spPr>
    </xdr:pic>
    <xdr:clientData/>
  </xdr:twoCellAnchor>
  <xdr:twoCellAnchor>
    <xdr:from>
      <xdr:col>3</xdr:col>
      <xdr:colOff>90487</xdr:colOff>
      <xdr:row>0</xdr:row>
      <xdr:rowOff>61913</xdr:rowOff>
    </xdr:from>
    <xdr:to>
      <xdr:col>4</xdr:col>
      <xdr:colOff>671246</xdr:colOff>
      <xdr:row>2</xdr:row>
      <xdr:rowOff>104776</xdr:rowOff>
    </xdr:to>
    <xdr:sp macro="[0]!LaborPP" textlink="">
      <xdr:nvSpPr>
        <xdr:cNvPr id="5" name="Arrow: Left 5">
          <a:extLst>
            <a:ext uri="{FF2B5EF4-FFF2-40B4-BE49-F238E27FC236}">
              <a16:creationId xmlns:a16="http://schemas.microsoft.com/office/drawing/2014/main" id="{00000000-0008-0000-0900-000005000000}"/>
            </a:ext>
            <a:ext uri="{147F2762-F138-4A5C-976F-8EAC2B608ADB}">
              <a16:predDERef xmlns:a16="http://schemas.microsoft.com/office/drawing/2014/main" pred="{72A41C7C-F1BB-45BD-8551-2C02B2330E02}"/>
            </a:ext>
          </a:extLst>
        </xdr:cNvPr>
        <xdr:cNvSpPr/>
      </xdr:nvSpPr>
      <xdr:spPr>
        <a:xfrm>
          <a:off x="4486275" y="61913"/>
          <a:ext cx="1438009" cy="404813"/>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xdr:from>
      <xdr:col>4</xdr:col>
      <xdr:colOff>785812</xdr:colOff>
      <xdr:row>0</xdr:row>
      <xdr:rowOff>52388</xdr:rowOff>
    </xdr:from>
    <xdr:to>
      <xdr:col>5</xdr:col>
      <xdr:colOff>964670</xdr:colOff>
      <xdr:row>2</xdr:row>
      <xdr:rowOff>135996</xdr:rowOff>
    </xdr:to>
    <xdr:sp macro="[0]!LaborNP" textlink="">
      <xdr:nvSpPr>
        <xdr:cNvPr id="6" name="Arrow: Right 5">
          <a:extLst>
            <a:ext uri="{FF2B5EF4-FFF2-40B4-BE49-F238E27FC236}">
              <a16:creationId xmlns:a16="http://schemas.microsoft.com/office/drawing/2014/main" id="{00000000-0008-0000-0900-000006000000}"/>
            </a:ext>
            <a:ext uri="{147F2762-F138-4A5C-976F-8EAC2B608ADB}">
              <a16:predDERef xmlns:a16="http://schemas.microsoft.com/office/drawing/2014/main" pred="{A702B357-8A4C-4913-8B3A-AA4CEB612882}"/>
            </a:ext>
          </a:extLst>
        </xdr:cNvPr>
        <xdr:cNvSpPr/>
      </xdr:nvSpPr>
      <xdr:spPr>
        <a:xfrm>
          <a:off x="6038850" y="52388"/>
          <a:ext cx="1493308" cy="445558"/>
        </a:xfrm>
        <a:prstGeom prst="righ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Next Page</a:t>
          </a:r>
        </a:p>
      </xdr:txBody>
    </xdr:sp>
    <xdr:clientData/>
  </xdr:twoCellAnchor>
  <xdr:twoCellAnchor editAs="oneCell">
    <xdr:from>
      <xdr:col>6</xdr:col>
      <xdr:colOff>352425</xdr:colOff>
      <xdr:row>0</xdr:row>
      <xdr:rowOff>47625</xdr:rowOff>
    </xdr:from>
    <xdr:to>
      <xdr:col>6</xdr:col>
      <xdr:colOff>876300</xdr:colOff>
      <xdr:row>2</xdr:row>
      <xdr:rowOff>190500</xdr:rowOff>
    </xdr:to>
    <xdr:pic macro="[0]!PrintOutLaborArea">
      <xdr:nvPicPr>
        <xdr:cNvPr id="7" name="Graphic 6" descr="Printer with solid fill">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800975" y="47625"/>
          <a:ext cx="523875" cy="523875"/>
        </a:xfrm>
        <a:prstGeom prst="rect">
          <a:avLst/>
        </a:prstGeom>
      </xdr:spPr>
    </xdr:pic>
    <xdr:clientData/>
  </xdr:twoCellAnchor>
  <xdr:twoCellAnchor editAs="oneCell">
    <xdr:from>
      <xdr:col>2</xdr:col>
      <xdr:colOff>788498</xdr:colOff>
      <xdr:row>10</xdr:row>
      <xdr:rowOff>154625</xdr:rowOff>
    </xdr:from>
    <xdr:to>
      <xdr:col>3</xdr:col>
      <xdr:colOff>720103</xdr:colOff>
      <xdr:row>18</xdr:row>
      <xdr:rowOff>68140</xdr:rowOff>
    </xdr:to>
    <xdr:pic macro="[0]!calculator">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4"/>
        <a:stretch>
          <a:fillRect/>
        </a:stretch>
      </xdr:blipFill>
      <xdr:spPr>
        <a:xfrm>
          <a:off x="3891488" y="2046532"/>
          <a:ext cx="1214697" cy="1393001"/>
        </a:xfrm>
        <a:prstGeom prst="rect">
          <a:avLst/>
        </a:prstGeom>
      </xdr:spPr>
    </xdr:pic>
    <xdr:clientData/>
  </xdr:twoCellAnchor>
  <xdr:twoCellAnchor editAs="oneCell">
    <xdr:from>
      <xdr:col>6</xdr:col>
      <xdr:colOff>1194489</xdr:colOff>
      <xdr:row>0</xdr:row>
      <xdr:rowOff>40107</xdr:rowOff>
    </xdr:from>
    <xdr:to>
      <xdr:col>7</xdr:col>
      <xdr:colOff>524375</xdr:colOff>
      <xdr:row>2</xdr:row>
      <xdr:rowOff>206213</xdr:rowOff>
    </xdr:to>
    <xdr:pic macro="[0]!ZoomIn">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657376" y="40107"/>
          <a:ext cx="547514" cy="539250"/>
        </a:xfrm>
        <a:prstGeom prst="rect">
          <a:avLst/>
        </a:prstGeom>
      </xdr:spPr>
    </xdr:pic>
    <xdr:clientData/>
  </xdr:twoCellAnchor>
  <xdr:twoCellAnchor editAs="oneCell">
    <xdr:from>
      <xdr:col>7</xdr:col>
      <xdr:colOff>509741</xdr:colOff>
      <xdr:row>0</xdr:row>
      <xdr:rowOff>50132</xdr:rowOff>
    </xdr:from>
    <xdr:to>
      <xdr:col>7</xdr:col>
      <xdr:colOff>1062788</xdr:colOff>
      <xdr:row>2</xdr:row>
      <xdr:rowOff>216031</xdr:rowOff>
    </xdr:to>
    <xdr:pic macro="[0]!ZoomOut">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190256" y="50132"/>
          <a:ext cx="553047" cy="53904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104775</xdr:colOff>
      <xdr:row>0</xdr:row>
      <xdr:rowOff>85725</xdr:rowOff>
    </xdr:from>
    <xdr:to>
      <xdr:col>1</xdr:col>
      <xdr:colOff>607111</xdr:colOff>
      <xdr:row>1</xdr:row>
      <xdr:rowOff>380060</xdr:rowOff>
    </xdr:to>
    <xdr:pic macro="[0]!Home">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85725"/>
          <a:ext cx="1400175" cy="484835"/>
        </a:xfrm>
        <a:prstGeom prst="rect">
          <a:avLst/>
        </a:prstGeom>
      </xdr:spPr>
    </xdr:pic>
    <xdr:clientData/>
  </xdr:twoCellAnchor>
  <xdr:twoCellAnchor>
    <xdr:from>
      <xdr:col>4</xdr:col>
      <xdr:colOff>247651</xdr:colOff>
      <xdr:row>0</xdr:row>
      <xdr:rowOff>80963</xdr:rowOff>
    </xdr:from>
    <xdr:to>
      <xdr:col>6</xdr:col>
      <xdr:colOff>56885</xdr:colOff>
      <xdr:row>2</xdr:row>
      <xdr:rowOff>66676</xdr:rowOff>
    </xdr:to>
    <xdr:sp macro="[0]!DashboardPP" textlink="">
      <xdr:nvSpPr>
        <xdr:cNvPr id="4" name="Arrow: Left 5">
          <a:extLst>
            <a:ext uri="{FF2B5EF4-FFF2-40B4-BE49-F238E27FC236}">
              <a16:creationId xmlns:a16="http://schemas.microsoft.com/office/drawing/2014/main" id="{00000000-0008-0000-0A00-000004000000}"/>
            </a:ext>
            <a:ext uri="{147F2762-F138-4A5C-976F-8EAC2B608ADB}">
              <a16:predDERef xmlns:a16="http://schemas.microsoft.com/office/drawing/2014/main" pred="{72A41C7C-F1BB-45BD-8551-2C02B2330E02}"/>
            </a:ext>
          </a:extLst>
        </xdr:cNvPr>
        <xdr:cNvSpPr/>
      </xdr:nvSpPr>
      <xdr:spPr>
        <a:xfrm>
          <a:off x="4362451" y="80963"/>
          <a:ext cx="1438009" cy="404813"/>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en-US" sz="1100"/>
            <a:t>  Previous Page    </a:t>
          </a:r>
        </a:p>
      </xdr:txBody>
    </xdr:sp>
    <xdr:clientData/>
  </xdr:twoCellAnchor>
  <xdr:twoCellAnchor editAs="oneCell">
    <xdr:from>
      <xdr:col>7</xdr:col>
      <xdr:colOff>88231</xdr:colOff>
      <xdr:row>0</xdr:row>
      <xdr:rowOff>40106</xdr:rowOff>
    </xdr:from>
    <xdr:to>
      <xdr:col>8</xdr:col>
      <xdr:colOff>81464</xdr:colOff>
      <xdr:row>1</xdr:row>
      <xdr:rowOff>342900</xdr:rowOff>
    </xdr:to>
    <xdr:pic macro="[0]!ZoomIn">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27306" y="40106"/>
          <a:ext cx="493294" cy="493294"/>
        </a:xfrm>
        <a:prstGeom prst="rect">
          <a:avLst/>
        </a:prstGeom>
      </xdr:spPr>
    </xdr:pic>
    <xdr:clientData/>
  </xdr:twoCellAnchor>
  <xdr:twoCellAnchor editAs="oneCell">
    <xdr:from>
      <xdr:col>7</xdr:col>
      <xdr:colOff>546671</xdr:colOff>
      <xdr:row>0</xdr:row>
      <xdr:rowOff>50132</xdr:rowOff>
    </xdr:from>
    <xdr:to>
      <xdr:col>8</xdr:col>
      <xdr:colOff>515969</xdr:colOff>
      <xdr:row>1</xdr:row>
      <xdr:rowOff>371475</xdr:rowOff>
    </xdr:to>
    <xdr:pic macro="[0]!ZoomOut">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5746" y="50132"/>
          <a:ext cx="516118" cy="511843"/>
        </a:xfrm>
        <a:prstGeom prst="rect">
          <a:avLst/>
        </a:prstGeom>
      </xdr:spPr>
    </xdr:pic>
    <xdr:clientData/>
  </xdr:twoCellAnchor>
  <xdr:twoCellAnchor>
    <xdr:from>
      <xdr:col>0</xdr:col>
      <xdr:colOff>410767</xdr:colOff>
      <xdr:row>14</xdr:row>
      <xdr:rowOff>45244</xdr:rowOff>
    </xdr:from>
    <xdr:to>
      <xdr:col>4</xdr:col>
      <xdr:colOff>5954</xdr:colOff>
      <xdr:row>28</xdr:row>
      <xdr:rowOff>121444</xdr:rowOff>
    </xdr:to>
    <xdr:graphicFrame macro="">
      <xdr:nvGraphicFramePr>
        <xdr:cNvPr id="35" name="Chart 34">
          <a:extLst>
            <a:ext uri="{FF2B5EF4-FFF2-40B4-BE49-F238E27FC236}">
              <a16:creationId xmlns:a16="http://schemas.microsoft.com/office/drawing/2014/main" id="{00000000-0008-0000-0A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279796</xdr:colOff>
      <xdr:row>14</xdr:row>
      <xdr:rowOff>45244</xdr:rowOff>
    </xdr:from>
    <xdr:to>
      <xdr:col>10</xdr:col>
      <xdr:colOff>184546</xdr:colOff>
      <xdr:row>28</xdr:row>
      <xdr:rowOff>121444</xdr:rowOff>
    </xdr:to>
    <xdr:graphicFrame macro="">
      <xdr:nvGraphicFramePr>
        <xdr:cNvPr id="37" name="Chart 36">
          <a:extLst>
            <a:ext uri="{FF2B5EF4-FFF2-40B4-BE49-F238E27FC236}">
              <a16:creationId xmlns:a16="http://schemas.microsoft.com/office/drawing/2014/main" id="{00000000-0008-0000-0A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1357312</xdr:colOff>
      <xdr:row>29</xdr:row>
      <xdr:rowOff>92868</xdr:rowOff>
    </xdr:from>
    <xdr:to>
      <xdr:col>6</xdr:col>
      <xdr:colOff>428625</xdr:colOff>
      <xdr:row>43</xdr:row>
      <xdr:rowOff>169068</xdr:rowOff>
    </xdr:to>
    <xdr:graphicFrame macro="">
      <xdr:nvGraphicFramePr>
        <xdr:cNvPr id="38" name="Chart 37">
          <a:extLst>
            <a:ext uri="{FF2B5EF4-FFF2-40B4-BE49-F238E27FC236}">
              <a16:creationId xmlns:a16="http://schemas.microsoft.com/office/drawing/2014/main" id="{00000000-0008-0000-0A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57150</xdr:colOff>
      <xdr:row>28</xdr:row>
      <xdr:rowOff>38099</xdr:rowOff>
    </xdr:from>
    <xdr:to>
      <xdr:col>15</xdr:col>
      <xdr:colOff>611982</xdr:colOff>
      <xdr:row>41</xdr:row>
      <xdr:rowOff>85724</xdr:rowOff>
    </xdr:to>
    <mc:AlternateContent xmlns:mc="http://schemas.openxmlformats.org/markup-compatibility/2006" xmlns:a14="http://schemas.microsoft.com/office/drawing/2010/main">
      <mc:Choice Requires="a14">
        <xdr:graphicFrame macro="">
          <xdr:nvGraphicFramePr>
            <xdr:cNvPr id="39" name="Member Name">
              <a:extLst>
                <a:ext uri="{FF2B5EF4-FFF2-40B4-BE49-F238E27FC236}">
                  <a16:creationId xmlns:a16="http://schemas.microsoft.com/office/drawing/2014/main" id="{00000000-0008-0000-0A00-000027000000}"/>
                </a:ext>
              </a:extLst>
            </xdr:cNvPr>
            <xdr:cNvGraphicFramePr/>
          </xdr:nvGraphicFramePr>
          <xdr:xfrm>
            <a:off x="0" y="0"/>
            <a:ext cx="0" cy="0"/>
          </xdr:xfrm>
          <a:graphic>
            <a:graphicData uri="http://schemas.microsoft.com/office/drawing/2010/slicer">
              <sle:slicer xmlns:sle="http://schemas.microsoft.com/office/drawing/2010/slicer" name="Member Name"/>
            </a:graphicData>
          </a:graphic>
        </xdr:graphicFrame>
      </mc:Choice>
      <mc:Fallback xmlns="">
        <xdr:sp macro="" textlink="">
          <xdr:nvSpPr>
            <xdr:cNvPr id="0" name=""/>
            <xdr:cNvSpPr>
              <a:spLocks noTextEdit="1"/>
            </xdr:cNvSpPr>
          </xdr:nvSpPr>
          <xdr:spPr>
            <a:xfrm>
              <a:off x="12189619" y="44434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342900</xdr:colOff>
      <xdr:row>28</xdr:row>
      <xdr:rowOff>14287</xdr:rowOff>
    </xdr:from>
    <xdr:to>
      <xdr:col>12</xdr:col>
      <xdr:colOff>695324</xdr:colOff>
      <xdr:row>41</xdr:row>
      <xdr:rowOff>61912</xdr:rowOff>
    </xdr:to>
    <mc:AlternateContent xmlns:mc="http://schemas.openxmlformats.org/markup-compatibility/2006" xmlns:a14="http://schemas.microsoft.com/office/drawing/2010/main">
      <mc:Choice Requires="a14">
        <xdr:graphicFrame macro="">
          <xdr:nvGraphicFramePr>
            <xdr:cNvPr id="40" name="Date">
              <a:extLst>
                <a:ext uri="{FF2B5EF4-FFF2-40B4-BE49-F238E27FC236}">
                  <a16:creationId xmlns:a16="http://schemas.microsoft.com/office/drawing/2014/main" id="{00000000-0008-0000-0A00-000028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201275" y="4419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330993</xdr:colOff>
      <xdr:row>14</xdr:row>
      <xdr:rowOff>73818</xdr:rowOff>
    </xdr:from>
    <xdr:to>
      <xdr:col>12</xdr:col>
      <xdr:colOff>683417</xdr:colOff>
      <xdr:row>27</xdr:row>
      <xdr:rowOff>121443</xdr:rowOff>
    </xdr:to>
    <mc:AlternateContent xmlns:mc="http://schemas.openxmlformats.org/markup-compatibility/2006" xmlns:a14="http://schemas.microsoft.com/office/drawing/2010/main">
      <mc:Choice Requires="a14">
        <xdr:graphicFrame macro="">
          <xdr:nvGraphicFramePr>
            <xdr:cNvPr id="42" name="Nail Tech">
              <a:extLst>
                <a:ext uri="{FF2B5EF4-FFF2-40B4-BE49-F238E27FC236}">
                  <a16:creationId xmlns:a16="http://schemas.microsoft.com/office/drawing/2014/main" id="{00000000-0008-0000-0A00-00002A000000}"/>
                </a:ext>
              </a:extLst>
            </xdr:cNvPr>
            <xdr:cNvGraphicFramePr/>
          </xdr:nvGraphicFramePr>
          <xdr:xfrm>
            <a:off x="0" y="0"/>
            <a:ext cx="0" cy="0"/>
          </xdr:xfrm>
          <a:graphic>
            <a:graphicData uri="http://schemas.microsoft.com/office/drawing/2010/slicer">
              <sle:slicer xmlns:sle="http://schemas.microsoft.com/office/drawing/2010/slicer" name="Nail Tech"/>
            </a:graphicData>
          </a:graphic>
        </xdr:graphicFrame>
      </mc:Choice>
      <mc:Fallback xmlns="">
        <xdr:sp macro="" textlink="">
          <xdr:nvSpPr>
            <xdr:cNvPr id="0" name=""/>
            <xdr:cNvSpPr>
              <a:spLocks noTextEdit="1"/>
            </xdr:cNvSpPr>
          </xdr:nvSpPr>
          <xdr:spPr>
            <a:xfrm>
              <a:off x="10189368" y="18121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f47ddf06fa8b58f0/Desktop/CSUMB/Group_Project%20Oswaldo%20l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Members"/>
      <sheetName val="Services"/>
      <sheetName val="Invoice"/>
      <sheetName val="Transaction History"/>
      <sheetName val="Invoice Analytics"/>
      <sheetName val="Inventory"/>
      <sheetName val="Suppliers Information"/>
      <sheetName val="Employee Information"/>
      <sheetName val="Employee Labor"/>
      <sheetName val="Dashboard "/>
      <sheetName val="Group_Project Oswaldo lol"/>
    </sheetNames>
    <definedNames>
      <definedName name="PrintOutInvoiceArea3"/>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Group_Project%20update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slie hernandez" refreshedDate="44309.030253356483" createdVersion="6" refreshedVersion="6" minRefreshableVersion="3" recordCount="18" xr:uid="{8C240AE6-2226-4AB7-88B8-77AE75CBA225}">
  <cacheSource type="worksheet">
    <worksheetSource ref="A4:I22" sheet="Inventory" r:id="rId2"/>
  </cacheSource>
  <cacheFields count="9">
    <cacheField name="Supplier ID" numFmtId="0">
      <sharedItems containsSemiMixedTypes="0" containsString="0" containsNumber="1" containsInteger="1" minValue="111367" maxValue="903468"/>
    </cacheField>
    <cacheField name="Products" numFmtId="0">
      <sharedItems count="18">
        <s v="Hand Soap"/>
        <s v="Rubbing Alcohol"/>
        <s v="Nail File"/>
        <s v="Acrylic Powder"/>
        <s v="Acrylic Liquid"/>
        <s v="Base Coat"/>
        <s v="Top Coat"/>
        <s v="Gel Top Coat"/>
        <s v="Bath Soap"/>
        <s v="Body Lotion"/>
        <s v="Body Oil"/>
        <s v="Parrafin Wax"/>
        <s v="Nail Repair Gel"/>
        <s v="Nail Art Sequins"/>
        <s v="Acetone"/>
        <s v="Cuticle Oil"/>
        <s v="Acrylic Nail Tips"/>
        <s v="Foot Nail File"/>
      </sharedItems>
    </cacheField>
    <cacheField name="Max Stock" numFmtId="0">
      <sharedItems count="14">
        <s v="512 oz. | 8 64 oz. Bottles "/>
        <s v="192 oz. | 12 16 oz. Bottles "/>
        <s v="100 Disposable Files"/>
        <s v="64 oz. | 8 8 oz. Bottles"/>
        <s v="96 oz. | 8 12 oz. Bottles"/>
        <s v="100 ml. | 10 10 ml. Bottles"/>
        <s v="512 oz. | 4 128 oz. Bottles"/>
        <s v="96 oz. | 6 16 oz. Bottles"/>
        <s v="6 lb. | 6 1lb. Bags"/>
        <s v="60 ml. | 5 12 ml. Bottles"/>
        <s v="5 oz. | 5 1 oz. Bags"/>
        <s v="384 oz. | 3 128 oz. Bottles"/>
        <s v="10 oz. | 10 1 oz. Bottles"/>
        <s v="5,000 Tips | 5 1,000 Tip Bags"/>
      </sharedItems>
    </cacheField>
    <cacheField name="Stock" numFmtId="0">
      <sharedItems containsSemiMixedTypes="0" containsString="0" containsNumber="1" containsInteger="1" minValue="5" maxValue="5000"/>
    </cacheField>
    <cacheField name="Beginning of Month Stock" numFmtId="0">
      <sharedItems containsSemiMixedTypes="0" containsString="0" containsNumber="1" containsInteger="1" minValue="0" maxValue="3210"/>
    </cacheField>
    <cacheField name="Remaining Stock" numFmtId="0">
      <sharedItems containsMixedTypes="1" containsNumber="1" containsInteger="1" minValue="0" maxValue="87" count="18">
        <s v="382.8 oz."/>
        <s v="94 oz."/>
        <n v="87"/>
        <s v="64 oz."/>
        <s v="60 oz."/>
        <s v="49.2 ml."/>
        <s v="80 ml."/>
        <s v="69 ml."/>
        <s v="384 oz."/>
        <s v="512 oz."/>
        <s v="80 oz."/>
        <s v="5 lbs"/>
        <s v="48 ml."/>
        <s v="5 oz."/>
        <s v="383.4 oz."/>
        <s v="8.8 oz."/>
        <s v="3210 nails tips"/>
        <n v="0"/>
      </sharedItems>
    </cacheField>
    <cacheField name="Remaining Stock2" numFmtId="0">
      <sharedItems containsSemiMixedTypes="0" containsString="0" containsNumber="1" minValue="0" maxValue="3210"/>
    </cacheField>
    <cacheField name="Price" numFmtId="0">
      <sharedItems count="15">
        <s v="$120 | $15/Bottle"/>
        <s v="$120 | $10/Bottle"/>
        <s v="$ 10 | 0$.10/File"/>
        <s v="$240 | $30/Bottle"/>
        <s v="$160 | $20/Bottle"/>
        <s v="$50 | $5/Bottle"/>
        <s v="$160 | $40/Bottle"/>
        <s v="$240 | $60/Bottle"/>
        <s v="$90 | $15/Bottle"/>
        <s v="$36 | $6/Bags"/>
        <s v="$60 | $12/Bottle"/>
        <s v="$50 | $10/Bags"/>
        <s v="$120 | $40/Bottle"/>
        <s v="$80 | $8/Bottle"/>
        <s v="$50 | $10/Bag "/>
      </sharedItems>
    </cacheField>
    <cacheField name="Restock Tim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em" refreshedDate="44325.887834374997" createdVersion="7" refreshedVersion="7" minRefreshableVersion="3" recordCount="12" xr:uid="{DA5E29B3-9E52-43E6-BCDE-1C226927DE2A}">
  <cacheSource type="worksheet">
    <worksheetSource name="Table4"/>
  </cacheSource>
  <cacheFields count="13">
    <cacheField name="Member Name" numFmtId="0">
      <sharedItems containsBlank="1" count="7">
        <s v="Shaileen Brooks"/>
        <s v="Sarah Smith"/>
        <s v="Monica  Galindo"/>
        <s v="Leslie Suarez"/>
        <s v="Wendy Yang"/>
        <s v="Karina Mendoza"/>
        <m/>
      </sharedItems>
    </cacheField>
    <cacheField name="Date" numFmtId="0">
      <sharedItems containsNonDate="0" containsDate="1" containsString="0" containsBlank="1" minDate="2021-04-01T00:00:00" maxDate="2021-05-01T00:00:00" count="5">
        <d v="2021-04-30T00:00:00"/>
        <d v="2021-04-27T00:00:00"/>
        <d v="2021-04-15T00:00:00"/>
        <d v="2021-04-01T00:00:00"/>
        <m/>
      </sharedItems>
    </cacheField>
    <cacheField name="Hands" numFmtId="0">
      <sharedItems containsBlank="1" count="4">
        <m/>
        <s v="Acrylic Fill"/>
        <s v="Acrylic Full Set"/>
        <s v="Basic Manicure"/>
      </sharedItems>
    </cacheField>
    <cacheField name="Feet" numFmtId="0">
      <sharedItems containsBlank="1" count="5">
        <s v="Overlay Fill"/>
        <s v="Callus Removal"/>
        <s v="Basic Pedicure"/>
        <m/>
        <s v="Acrylic Overlay"/>
      </sharedItems>
    </cacheField>
    <cacheField name="Add ons" numFmtId="0">
      <sharedItems containsBlank="1" count="7">
        <s v="Foot Massage"/>
        <s v="Paraffin Wax Treatment"/>
        <s v="Nail Art"/>
        <s v="Hand Massage"/>
        <s v="Nail Repair"/>
        <s v="Gel Nails"/>
        <m/>
      </sharedItems>
    </cacheField>
    <cacheField name="Removals" numFmtId="0">
      <sharedItems containsBlank="1"/>
    </cacheField>
    <cacheField name="Cost for Hands" numFmtId="0">
      <sharedItems containsBlank="1" containsMixedTypes="1" containsNumber="1" containsInteger="1" minValue="15" maxValue="35"/>
    </cacheField>
    <cacheField name="Cost for Feet" numFmtId="0">
      <sharedItems containsBlank="1" containsMixedTypes="1" containsNumber="1" containsInteger="1" minValue="10" maxValue="30"/>
    </cacheField>
    <cacheField name="Cost for Add Ons" numFmtId="0">
      <sharedItems containsString="0" containsBlank="1" containsNumber="1" containsInteger="1" minValue="10" maxValue="15"/>
    </cacheField>
    <cacheField name="Cost for Removals" numFmtId="0">
      <sharedItems containsBlank="1" containsMixedTypes="1" containsNumber="1" containsInteger="1" minValue="7" maxValue="10"/>
    </cacheField>
    <cacheField name="Discount" numFmtId="9">
      <sharedItems containsString="0" containsBlank="1" containsNumber="1" minValue="0" maxValue="0.1"/>
    </cacheField>
    <cacheField name="Total" numFmtId="8">
      <sharedItems containsString="0" containsBlank="1" containsNumber="1" minValue="25" maxValue="61.2" count="8">
        <n v="52"/>
        <n v="27"/>
        <n v="33.5"/>
        <n v="42"/>
        <n v="38"/>
        <n v="61.2"/>
        <n v="25"/>
        <m/>
      </sharedItems>
    </cacheField>
    <cacheField name="Nail Tech" numFmtId="0">
      <sharedItems containsBlank="1" count="5">
        <s v="Trisha Jones"/>
        <s v="Jason Johnson"/>
        <s v="Sarah Ferra"/>
        <s v="Jesse Lima"/>
        <m/>
      </sharedItems>
    </cacheField>
  </cacheFields>
  <extLst>
    <ext xmlns:x14="http://schemas.microsoft.com/office/spreadsheetml/2009/9/main" uri="{725AE2AE-9491-48be-B2B4-4EB974FC3084}">
      <x14:pivotCacheDefinition pivotCacheId="1243203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n v="129310"/>
    <x v="0"/>
    <x v="0"/>
    <n v="512"/>
    <n v="384"/>
    <x v="0"/>
    <n v="382.8"/>
    <x v="0"/>
    <s v="Normal Stock"/>
  </r>
  <r>
    <n v="427890"/>
    <x v="1"/>
    <x v="1"/>
    <n v="192"/>
    <n v="96"/>
    <x v="1"/>
    <n v="94"/>
    <x v="1"/>
    <s v="Restock Now!"/>
  </r>
  <r>
    <n v="436752"/>
    <x v="2"/>
    <x v="2"/>
    <n v="100"/>
    <n v="89"/>
    <x v="2"/>
    <n v="87"/>
    <x v="2"/>
    <s v="Normal Stock"/>
  </r>
  <r>
    <n v="567794"/>
    <x v="3"/>
    <x v="3"/>
    <n v="64"/>
    <n v="64"/>
    <x v="3"/>
    <n v="64"/>
    <x v="3"/>
    <s v="Normal Stock"/>
  </r>
  <r>
    <n v="452905"/>
    <x v="4"/>
    <x v="4"/>
    <n v="96"/>
    <n v="60"/>
    <x v="4"/>
    <n v="60"/>
    <x v="4"/>
    <s v="Normal Stock"/>
  </r>
  <r>
    <n v="146844"/>
    <x v="5"/>
    <x v="5"/>
    <n v="100"/>
    <n v="50"/>
    <x v="5"/>
    <n v="49.2"/>
    <x v="5"/>
    <s v="Restock Now!"/>
  </r>
  <r>
    <n v="903468"/>
    <x v="6"/>
    <x v="5"/>
    <n v="100"/>
    <n v="80"/>
    <x v="6"/>
    <n v="80"/>
    <x v="5"/>
    <s v="Normal Stock"/>
  </r>
  <r>
    <n v="201475"/>
    <x v="7"/>
    <x v="5"/>
    <n v="100"/>
    <n v="70"/>
    <x v="7"/>
    <n v="69"/>
    <x v="5"/>
    <s v="Normal Stock"/>
  </r>
  <r>
    <n v="735690"/>
    <x v="8"/>
    <x v="6"/>
    <n v="512"/>
    <n v="384"/>
    <x v="8"/>
    <n v="384"/>
    <x v="6"/>
    <s v="Normal Stock"/>
  </r>
  <r>
    <n v="425823"/>
    <x v="9"/>
    <x v="6"/>
    <n v="512"/>
    <n v="512"/>
    <x v="9"/>
    <n v="512"/>
    <x v="7"/>
    <s v="Normal Stock"/>
  </r>
  <r>
    <n v="468204"/>
    <x v="10"/>
    <x v="7"/>
    <n v="96"/>
    <n v="80"/>
    <x v="10"/>
    <n v="80"/>
    <x v="8"/>
    <s v="Normal Stock"/>
  </r>
  <r>
    <n v="351854"/>
    <x v="11"/>
    <x v="8"/>
    <n v="6"/>
    <n v="5"/>
    <x v="11"/>
    <n v="5"/>
    <x v="9"/>
    <s v="Normal Stock"/>
  </r>
  <r>
    <n v="143784"/>
    <x v="12"/>
    <x v="9"/>
    <n v="60"/>
    <n v="48"/>
    <x v="12"/>
    <n v="48"/>
    <x v="10"/>
    <s v="Normal Stock"/>
  </r>
  <r>
    <n v="234974"/>
    <x v="13"/>
    <x v="10"/>
    <n v="5"/>
    <n v="5"/>
    <x v="13"/>
    <n v="5"/>
    <x v="11"/>
    <s v="Normal Stock"/>
  </r>
  <r>
    <n v="139075"/>
    <x v="14"/>
    <x v="11"/>
    <n v="384"/>
    <n v="384"/>
    <x v="14"/>
    <n v="383.4"/>
    <x v="12"/>
    <s v="Normal Stock"/>
  </r>
  <r>
    <n v="111367"/>
    <x v="15"/>
    <x v="12"/>
    <n v="10"/>
    <n v="9"/>
    <x v="15"/>
    <n v="8.8000000000000007"/>
    <x v="13"/>
    <s v="Normal Stock"/>
  </r>
  <r>
    <n v="467802"/>
    <x v="16"/>
    <x v="13"/>
    <n v="5000"/>
    <n v="3210"/>
    <x v="16"/>
    <n v="3210"/>
    <x v="14"/>
    <s v="Normal Stock"/>
  </r>
  <r>
    <n v="463479"/>
    <x v="17"/>
    <x v="2"/>
    <n v="100"/>
    <n v="0"/>
    <x v="17"/>
    <n v="0"/>
    <x v="2"/>
    <s v="No Stock | REORD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x v="0"/>
    <x v="0"/>
    <s v="Acrylic Removal"/>
    <s v=""/>
    <n v="25"/>
    <n v="15"/>
    <n v="10"/>
    <n v="0"/>
    <x v="0"/>
    <x v="0"/>
  </r>
  <r>
    <x v="1"/>
    <x v="0"/>
    <x v="0"/>
    <x v="1"/>
    <x v="1"/>
    <m/>
    <s v=""/>
    <n v="10"/>
    <n v="15"/>
    <s v=""/>
    <n v="0"/>
    <x v="1"/>
    <x v="1"/>
  </r>
  <r>
    <x v="2"/>
    <x v="0"/>
    <x v="0"/>
    <x v="2"/>
    <x v="2"/>
    <m/>
    <s v=""/>
    <n v="20"/>
    <n v="15"/>
    <s v=""/>
    <n v="0.1"/>
    <x v="2"/>
    <x v="1"/>
  </r>
  <r>
    <x v="3"/>
    <x v="0"/>
    <x v="1"/>
    <x v="1"/>
    <x v="3"/>
    <m/>
    <n v="25"/>
    <n v="10"/>
    <n v="15"/>
    <s v=""/>
    <n v="0"/>
    <x v="0"/>
    <x v="2"/>
  </r>
  <r>
    <x v="4"/>
    <x v="1"/>
    <x v="2"/>
    <x v="3"/>
    <x v="2"/>
    <m/>
    <n v="35"/>
    <s v=""/>
    <n v="15"/>
    <s v=""/>
    <n v="0.1"/>
    <x v="3"/>
    <x v="3"/>
  </r>
  <r>
    <x v="5"/>
    <x v="1"/>
    <x v="1"/>
    <x v="3"/>
    <x v="3"/>
    <m/>
    <n v="25"/>
    <s v=""/>
    <n v="15"/>
    <s v=""/>
    <n v="0.1"/>
    <x v="4"/>
    <x v="3"/>
  </r>
  <r>
    <x v="4"/>
    <x v="1"/>
    <x v="1"/>
    <x v="4"/>
    <x v="4"/>
    <s v="Gel Removal"/>
    <n v="25"/>
    <n v="30"/>
    <n v="12"/>
    <n v="7"/>
    <n v="0.1"/>
    <x v="5"/>
    <x v="0"/>
  </r>
  <r>
    <x v="4"/>
    <x v="2"/>
    <x v="3"/>
    <x v="3"/>
    <x v="5"/>
    <m/>
    <n v="15"/>
    <m/>
    <n v="10"/>
    <m/>
    <m/>
    <x v="6"/>
    <x v="2"/>
  </r>
  <r>
    <x v="4"/>
    <x v="3"/>
    <x v="3"/>
    <x v="3"/>
    <x v="5"/>
    <m/>
    <n v="15"/>
    <m/>
    <n v="10"/>
    <m/>
    <m/>
    <x v="6"/>
    <x v="2"/>
  </r>
  <r>
    <x v="6"/>
    <x v="4"/>
    <x v="0"/>
    <x v="3"/>
    <x v="6"/>
    <m/>
    <m/>
    <m/>
    <m/>
    <m/>
    <m/>
    <x v="7"/>
    <x v="4"/>
  </r>
  <r>
    <x v="6"/>
    <x v="4"/>
    <x v="0"/>
    <x v="3"/>
    <x v="6"/>
    <m/>
    <m/>
    <m/>
    <m/>
    <m/>
    <m/>
    <x v="7"/>
    <x v="4"/>
  </r>
  <r>
    <x v="6"/>
    <x v="4"/>
    <x v="0"/>
    <x v="3"/>
    <x v="6"/>
    <m/>
    <m/>
    <m/>
    <m/>
    <m/>
    <m/>
    <x v="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99072E-EC2B-47E3-841F-15404020D3A4}"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E28:G47" firstHeaderRow="0" firstDataRow="1" firstDataCol="1"/>
  <pivotFields count="9">
    <pivotField showAll="0"/>
    <pivotField axis="axisRow" showAll="0">
      <items count="19">
        <item x="14"/>
        <item x="4"/>
        <item x="16"/>
        <item x="3"/>
        <item x="5"/>
        <item x="8"/>
        <item x="9"/>
        <item x="10"/>
        <item x="15"/>
        <item x="17"/>
        <item x="7"/>
        <item x="0"/>
        <item x="13"/>
        <item x="2"/>
        <item x="12"/>
        <item x="11"/>
        <item x="1"/>
        <item x="6"/>
        <item t="default"/>
      </items>
    </pivotField>
    <pivotField showAll="0">
      <items count="15">
        <item x="12"/>
        <item x="2"/>
        <item x="5"/>
        <item x="1"/>
        <item x="11"/>
        <item x="10"/>
        <item x="13"/>
        <item x="6"/>
        <item x="0"/>
        <item x="8"/>
        <item x="9"/>
        <item x="3"/>
        <item x="7"/>
        <item x="4"/>
        <item t="default"/>
      </items>
    </pivotField>
    <pivotField dataField="1" showAll="0"/>
    <pivotField showAll="0"/>
    <pivotField showAll="0">
      <items count="19">
        <item x="17"/>
        <item x="2"/>
        <item x="16"/>
        <item x="0"/>
        <item x="14"/>
        <item x="8"/>
        <item x="12"/>
        <item x="5"/>
        <item x="11"/>
        <item x="13"/>
        <item x="9"/>
        <item x="4"/>
        <item x="3"/>
        <item x="7"/>
        <item x="15"/>
        <item x="6"/>
        <item x="10"/>
        <item x="1"/>
        <item t="default"/>
      </items>
    </pivotField>
    <pivotField dataField="1" showAll="0"/>
    <pivotField showAll="0">
      <items count="16">
        <item x="2"/>
        <item x="1"/>
        <item x="0"/>
        <item x="12"/>
        <item x="4"/>
        <item x="6"/>
        <item x="3"/>
        <item x="7"/>
        <item x="9"/>
        <item x="14"/>
        <item x="11"/>
        <item x="5"/>
        <item x="10"/>
        <item x="13"/>
        <item x="8"/>
        <item t="default"/>
      </items>
    </pivotField>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2">
    <i>
      <x/>
    </i>
    <i i="1">
      <x v="1"/>
    </i>
  </colItems>
  <dataFields count="2">
    <dataField name="Sum of Stock" fld="3" baseField="0" baseItem="0"/>
    <dataField name="Sum of Remaining Stock2" fld="6" baseField="0" baseItem="0"/>
  </dataFields>
  <formats count="12">
    <format dxfId="65">
      <pivotArea type="all" dataOnly="0" outline="0" fieldPosition="0"/>
    </format>
    <format dxfId="64">
      <pivotArea outline="0" collapsedLevelsAreSubtotals="1" fieldPosition="0"/>
    </format>
    <format dxfId="63">
      <pivotArea field="1" type="button" dataOnly="0" labelOnly="1" outline="0" axis="axisRow" fieldPosition="0"/>
    </format>
    <format dxfId="62">
      <pivotArea dataOnly="0" labelOnly="1" fieldPosition="0">
        <references count="1">
          <reference field="1" count="0"/>
        </references>
      </pivotArea>
    </format>
    <format dxfId="61">
      <pivotArea dataOnly="0" labelOnly="1" grandRow="1" outline="0" fieldPosition="0"/>
    </format>
    <format dxfId="60">
      <pivotArea dataOnly="0" labelOnly="1" outline="0" fieldPosition="0">
        <references count="1">
          <reference field="4294967294" count="2">
            <x v="0"/>
            <x v="1"/>
          </reference>
        </references>
      </pivotArea>
    </format>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0"/>
        </references>
      </pivotArea>
    </format>
    <format dxfId="55">
      <pivotArea dataOnly="0" labelOnly="1" grandRow="1" outline="0" fieldPosition="0"/>
    </format>
    <format dxfId="54">
      <pivotArea dataOnly="0" labelOnly="1" outline="0" fieldPosition="0">
        <references count="1">
          <reference field="4294967294" count="2">
            <x v="0"/>
            <x v="1"/>
          </reference>
        </references>
      </pivotArea>
    </format>
  </formats>
  <chartFormats count="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9B8595-E42D-4600-B974-31F736AB3868}" name="PivotTable2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C4:D10" firstHeaderRow="1" firstDataRow="1" firstDataCol="1"/>
  <pivotFields count="13">
    <pivotField showAll="0">
      <items count="8">
        <item x="5"/>
        <item x="3"/>
        <item x="2"/>
        <item x="1"/>
        <item x="0"/>
        <item x="4"/>
        <item x="6"/>
        <item t="default"/>
      </items>
    </pivotField>
    <pivotField showAll="0">
      <items count="6">
        <item x="3"/>
        <item x="2"/>
        <item x="1"/>
        <item x="0"/>
        <item x="4"/>
        <item t="default"/>
      </items>
    </pivotField>
    <pivotField showAll="0"/>
    <pivotField showAll="0"/>
    <pivotField showAll="0"/>
    <pivotField showAll="0"/>
    <pivotField showAll="0"/>
    <pivotField showAll="0"/>
    <pivotField showAll="0"/>
    <pivotField showAll="0"/>
    <pivotField showAll="0"/>
    <pivotField showAll="0">
      <items count="9">
        <item x="6"/>
        <item x="1"/>
        <item x="2"/>
        <item x="4"/>
        <item x="3"/>
        <item x="0"/>
        <item x="5"/>
        <item x="7"/>
        <item t="default"/>
      </items>
    </pivotField>
    <pivotField axis="axisRow" dataField="1" showAll="0">
      <items count="6">
        <item x="1"/>
        <item x="3"/>
        <item x="2"/>
        <item x="0"/>
        <item x="4"/>
        <item t="default"/>
      </items>
    </pivotField>
  </pivotFields>
  <rowFields count="1">
    <field x="12"/>
  </rowFields>
  <rowItems count="6">
    <i>
      <x/>
    </i>
    <i>
      <x v="1"/>
    </i>
    <i>
      <x v="2"/>
    </i>
    <i>
      <x v="3"/>
    </i>
    <i>
      <x v="4"/>
    </i>
    <i t="grand">
      <x/>
    </i>
  </rowItems>
  <colItems count="1">
    <i/>
  </colItems>
  <dataFields count="1">
    <dataField name="Count of Nail Tech" fld="12"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07D45C-6F42-4353-AB90-9DDBE3ED2D9B}" name="PivotTable1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4:B12" firstHeaderRow="1" firstDataRow="1" firstDataCol="1"/>
  <pivotFields count="13">
    <pivotField axis="axisRow" dataField="1" showAll="0">
      <items count="8">
        <item x="5"/>
        <item x="3"/>
        <item x="2"/>
        <item x="1"/>
        <item x="0"/>
        <item x="4"/>
        <item x="6"/>
        <item t="default"/>
      </items>
    </pivotField>
    <pivotField showAll="0">
      <items count="6">
        <item x="3"/>
        <item x="2"/>
        <item x="1"/>
        <item x="0"/>
        <item x="4"/>
        <item t="default"/>
      </items>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items count="9">
        <item x="6"/>
        <item x="1"/>
        <item x="2"/>
        <item x="4"/>
        <item x="3"/>
        <item x="0"/>
        <item x="5"/>
        <item x="7"/>
        <item t="default"/>
      </items>
    </pivotField>
    <pivotField showAll="0">
      <items count="6">
        <item x="1"/>
        <item x="3"/>
        <item x="2"/>
        <item x="0"/>
        <item x="4"/>
        <item t="default"/>
      </items>
    </pivotField>
  </pivotFields>
  <rowFields count="1">
    <field x="0"/>
  </rowFields>
  <rowItems count="8">
    <i>
      <x/>
    </i>
    <i>
      <x v="1"/>
    </i>
    <i>
      <x v="2"/>
    </i>
    <i>
      <x v="3"/>
    </i>
    <i>
      <x v="4"/>
    </i>
    <i>
      <x v="5"/>
    </i>
    <i>
      <x v="6"/>
    </i>
    <i t="grand">
      <x/>
    </i>
  </rowItems>
  <colItems count="1">
    <i/>
  </colItems>
  <dataFields count="1">
    <dataField name="Count of Member Name" fld="0" subtotal="count"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BAA2AC-E70C-41DC-ABD6-0F484288FF44}" name="PivotTable2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E4:F10" firstHeaderRow="1" firstDataRow="1" firstDataCol="1"/>
  <pivotFields count="13">
    <pivotField showAll="0">
      <items count="8">
        <item x="5"/>
        <item x="3"/>
        <item x="2"/>
        <item x="1"/>
        <item x="0"/>
        <item x="4"/>
        <item x="6"/>
        <item t="default"/>
      </items>
    </pivotField>
    <pivotField axis="axisRow" showAll="0">
      <items count="6">
        <item x="3"/>
        <item x="2"/>
        <item x="1"/>
        <item x="0"/>
        <item x="4"/>
        <item t="default"/>
      </items>
    </pivotField>
    <pivotField showAll="0"/>
    <pivotField showAll="0"/>
    <pivotField showAll="0"/>
    <pivotField showAll="0"/>
    <pivotField showAll="0"/>
    <pivotField showAll="0"/>
    <pivotField showAll="0"/>
    <pivotField showAll="0"/>
    <pivotField showAll="0"/>
    <pivotField dataField="1" showAll="0">
      <items count="9">
        <item x="6"/>
        <item x="1"/>
        <item x="2"/>
        <item x="4"/>
        <item x="3"/>
        <item x="0"/>
        <item x="5"/>
        <item x="7"/>
        <item t="default"/>
      </items>
    </pivotField>
    <pivotField showAll="0">
      <items count="6">
        <item x="1"/>
        <item x="3"/>
        <item x="2"/>
        <item x="0"/>
        <item x="4"/>
        <item t="default"/>
      </items>
    </pivotField>
  </pivotFields>
  <rowFields count="1">
    <field x="1"/>
  </rowFields>
  <rowItems count="6">
    <i>
      <x/>
    </i>
    <i>
      <x v="1"/>
    </i>
    <i>
      <x v="2"/>
    </i>
    <i>
      <x v="3"/>
    </i>
    <i>
      <x v="4"/>
    </i>
    <i t="grand">
      <x/>
    </i>
  </rowItems>
  <colItems count="1">
    <i/>
  </colItems>
  <dataFields count="1">
    <dataField name="Sum of Total" fld="11"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mber_Name" xr10:uid="{F2CE92F6-E568-4500-B878-220FF86F0509}" sourceName="Member Name">
  <pivotTables>
    <pivotTable tabId="10" name="PivotTable18"/>
    <pivotTable tabId="10" name="PivotTable26"/>
    <pivotTable tabId="10" name="PivotTable27"/>
  </pivotTables>
  <data>
    <tabular pivotCacheId="124320301">
      <items count="7">
        <i x="5" s="1"/>
        <i x="3" s="1"/>
        <i x="2" s="1"/>
        <i x="1" s="1"/>
        <i x="0" s="1"/>
        <i x="4"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41F45B91-012F-46F1-A9D0-729DA5E7E315}" sourceName="Date">
  <pivotTables>
    <pivotTable tabId="10" name="PivotTable18"/>
    <pivotTable tabId="10" name="PivotTable26"/>
    <pivotTable tabId="10" name="PivotTable27"/>
  </pivotTables>
  <data>
    <tabular pivotCacheId="124320301">
      <items count="5">
        <i x="3" s="1"/>
        <i x="2" s="1"/>
        <i x="1"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il_Tech" xr10:uid="{7A7EB8E7-A5D3-4E80-A64A-D838ADC153A0}" sourceName="Nail Tech">
  <pivotTables>
    <pivotTable tabId="10" name="PivotTable18"/>
    <pivotTable tabId="10" name="PivotTable26"/>
    <pivotTable tabId="10" name="PivotTable27"/>
  </pivotTables>
  <data>
    <tabular pivotCacheId="124320301">
      <items count="5">
        <i x="1" s="1"/>
        <i x="3" s="1"/>
        <i x="2" s="1"/>
        <i x="0"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mber Name" xr10:uid="{9D8BE84E-63CA-4751-B473-8196343BDB05}" cache="Slicer_Member_Name" caption="Member Name" rowHeight="241300"/>
  <slicer name="Date" xr10:uid="{0BB5E782-590E-40AD-8125-9042A9040EAA}" cache="Slicer_Date" caption="Date" rowHeight="241300"/>
  <slicer name="Nail Tech" xr10:uid="{DE39BCC4-763D-4F5E-88D6-5B0207D658BB}" cache="Slicer_Nail_Tech" caption="Nail Tech"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42FE9A-DDCF-4D1D-B54B-16C6DBE70E52}" name="Table3" displayName="Table3" ref="A4:I18" totalsRowShown="0" headerRowDxfId="95" dataDxfId="94" tableBorderDxfId="93">
  <autoFilter ref="A4:I18" xr:uid="{30507518-803A-41AA-80CA-9C73C402D343}"/>
  <tableColumns count="9">
    <tableColumn id="1" xr3:uid="{F1B9E07C-4997-4EE3-B13F-410926AD54A9}" name="Customer First Name" dataDxfId="92"/>
    <tableColumn id="2" xr3:uid="{7F805219-7A37-45D9-B350-2CD2AB840701}" name="Customers Last Name" dataDxfId="91"/>
    <tableColumn id="3" xr3:uid="{405883DD-92C4-4FE5-B813-D09DB56DBE43}" name="Customer Full Name " dataDxfId="90">
      <calculatedColumnFormula>_xlfn.CONCAT(A5," ",B5)</calculatedColumnFormula>
    </tableColumn>
    <tableColumn id="4" xr3:uid="{F210B4A7-A9BA-4930-9823-DBA96677837D}" name="Email" dataDxfId="89">
      <calculatedColumnFormula>_xlfn.CONCAT(A5,"_",B5,"@gmail.com")</calculatedColumnFormula>
    </tableColumn>
    <tableColumn id="5" xr3:uid="{BEA0DCEF-9892-460B-8639-68A09012FDB8}" name="Phone Number" dataDxfId="88"/>
    <tableColumn id="6" xr3:uid="{486112F9-FD90-4038-BDAD-C7976725E5F0}" name="Birthday" dataDxfId="87"/>
    <tableColumn id="7" xr3:uid="{CA41E652-38E4-4ADA-83C4-33CFEA5CE332}" name="Birthday this month? " dataDxfId="86"/>
    <tableColumn id="8" xr3:uid="{7E3B9447-DA2B-42E3-AC92-D0426ADA575F}" name="Two visits? " dataDxfId="85"/>
    <tableColumn id="9" xr3:uid="{D4E1017D-E26B-4697-8033-4B265A10CF9D}" name="Discount Type" dataDxfId="84" dataCellStyle="Percent">
      <calculatedColumnFormula>IF(AND(H5="Yes",G5="Yes"),"20%",IF(AND(H5="Yes",G5="No"),"10",IF(AND(H5="No",G5="yes"),"10%","0%")))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958DBD-0FE5-4BB6-80E2-A6D502AB9CD3}" name="Table4" displayName="Table4" ref="A4:M19" totalsRowShown="0" headerRowDxfId="83" headerRowBorderDxfId="82" tableBorderDxfId="81" totalsRowBorderDxfId="80">
  <autoFilter ref="A4:M19" xr:uid="{BB902186-C289-4BAF-884E-37D765C83476}"/>
  <tableColumns count="13">
    <tableColumn id="1" xr3:uid="{180F7F00-7B62-4240-8252-AE7179F00B35}" name="Member Name" dataDxfId="79"/>
    <tableColumn id="2" xr3:uid="{DF334FA3-BBFA-480E-8737-6A02FBFA0BE0}" name="Date" dataDxfId="78"/>
    <tableColumn id="3" xr3:uid="{09131451-7248-406B-9C85-FB64DFEA099E}" name="Hands" dataDxfId="77"/>
    <tableColumn id="4" xr3:uid="{6BC61A98-0A97-4180-BB60-23B427C309EA}" name="Feet" dataDxfId="76"/>
    <tableColumn id="5" xr3:uid="{8EAAE78B-47CA-4756-A7ED-3326A95B4E1A}" name="Add ons" dataDxfId="75"/>
    <tableColumn id="6" xr3:uid="{020DCC55-3176-4B3F-AB2C-F64572440119}" name="Removals" dataDxfId="74"/>
    <tableColumn id="7" xr3:uid="{ECD08F11-8D38-44C9-B4EC-B68DD9F4CDD3}" name="Cost for Hands" dataDxfId="73"/>
    <tableColumn id="8" xr3:uid="{D6CBBD21-4570-427B-8C08-6795E80BD8DB}" name="Cost for Feet" dataDxfId="72"/>
    <tableColumn id="9" xr3:uid="{F667A7E5-7CB8-4738-82E6-00720511CF2C}" name="Cost for Add Ons" dataDxfId="71"/>
    <tableColumn id="10" xr3:uid="{361EC340-4937-4BD5-8DB4-3400665997E7}" name="Cost for Removals" dataDxfId="70"/>
    <tableColumn id="11" xr3:uid="{25384C7E-B61D-4D07-ABEE-B83C86D6C6BF}" name="Discount" dataDxfId="69" dataCellStyle="Percent"/>
    <tableColumn id="12" xr3:uid="{C88807DB-DFE9-4F86-819A-F0881404C46B}" name="Total" dataDxfId="68"/>
    <tableColumn id="13" xr3:uid="{5AB59EBB-0AA5-4772-9FD7-A1363C089C08}" name="Nail Tech" dataDxfId="6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8F5265-0E8A-4149-94B4-46AB43E12F10}" name="Table5" displayName="Table5" ref="A4:I22" totalsRowShown="0" headerRowDxfId="53" tableBorderDxfId="52">
  <autoFilter ref="A4:I22" xr:uid="{12E6A323-64E5-4C2E-BE3E-8A2215B8E301}"/>
  <tableColumns count="9">
    <tableColumn id="1" xr3:uid="{87BE11E7-AC90-4C47-95CB-794607799233}" name="Supplier ID" dataDxfId="51"/>
    <tableColumn id="2" xr3:uid="{C3FDFDAB-45B8-45B8-AABE-5F75626B92FF}" name="Products" dataDxfId="50"/>
    <tableColumn id="3" xr3:uid="{3A9A29B8-B044-4F25-BAF9-921A51CCC012}" name="Max Stock" dataDxfId="49"/>
    <tableColumn id="4" xr3:uid="{4BD0560C-5721-4705-8222-46A306C0D2C2}" name="Stock" dataDxfId="48"/>
    <tableColumn id="5" xr3:uid="{40254EB2-E913-4EF9-A3BD-32D3719770A6}" name="Beginning of Month Stock" dataDxfId="47"/>
    <tableColumn id="6" xr3:uid="{4231385D-E922-4713-AD9C-23B86B389D82}" name="Remaining Stock" dataDxfId="46"/>
    <tableColumn id="7" xr3:uid="{F2FE4659-2AC2-4C99-87BE-389D28649410}" name="Remaining Stock2" dataDxfId="45"/>
    <tableColumn id="8" xr3:uid="{B49ECC9A-85BB-4665-978F-33A25BADCADA}" name="Price" dataDxfId="44"/>
    <tableColumn id="9" xr3:uid="{7D937830-0978-4800-BF45-5621051ECC83}" name="Restock Time" dataDxfId="43">
      <calculatedColumnFormula>IF(G5&gt;=(0.5*D5),"Normal Stock",IF(G5&gt;=1,"Restock Now!","No Stock | REORDER"))</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AEED9-8DB0-4D6A-8A5E-75F67B0A841D}" name="Table1" displayName="Table1" ref="A4:G22" totalsRowShown="0" headerRowDxfId="42" headerRowBorderDxfId="41" tableBorderDxfId="40" totalsRowBorderDxfId="39">
  <autoFilter ref="A4:G22" xr:uid="{67A0A3E0-ED9A-481B-96BE-10F8549D2D88}"/>
  <tableColumns count="7">
    <tableColumn id="1" xr3:uid="{EEAFF81C-17E3-499D-833C-D83750B3B755}" name="Supplier ID" dataDxfId="38"/>
    <tableColumn id="2" xr3:uid="{F04E7441-7525-4A6D-B1C6-87483D36000D}" name="Supplier Name" dataDxfId="37"/>
    <tableColumn id="3" xr3:uid="{4C2128E2-4E1A-4FD0-8BC4-BB723FFC76D9}" name="Phone Number" dataDxfId="36"/>
    <tableColumn id="4" xr3:uid="{80584E9F-3EF1-4EE2-9597-20A064AEEA3D}" name="FAX" dataDxfId="35"/>
    <tableColumn id="5" xr3:uid="{FC1E66FA-B780-49EC-9F93-E7D992577D22}" name="Email" dataDxfId="34">
      <calculatedColumnFormula>CONCATENATE(LEFT(B5,SEARCH(" ",B5)-1), "_", MID(B5,SEARCH(" ", B5)+1,15), "@gmail.com")</calculatedColumnFormula>
    </tableColumn>
    <tableColumn id="6" xr3:uid="{21C9A1EC-CD8C-48DA-8B7D-BDA546E61F08}" name="State" dataDxfId="33">
      <calculatedColumnFormula>VLOOKUP(VALUE(LEFT(C5,3)),I4:J417,2,FALSE)</calculatedColumnFormula>
    </tableColumn>
    <tableColumn id="7" xr3:uid="{355C100F-5387-4214-B0F7-259628B10E2F}" name="Product"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86DD42-9DFD-4BF1-8EF6-7A069CC6C725}" name="Table6" displayName="Table6" ref="A4:K10" totalsRowShown="0" headerRowDxfId="31" dataDxfId="29" headerRowBorderDxfId="30" tableBorderDxfId="28" totalsRowBorderDxfId="27">
  <autoFilter ref="A4:K10" xr:uid="{B939AB41-8382-4773-8976-024ED0643190}"/>
  <tableColumns count="11">
    <tableColumn id="1" xr3:uid="{BC99ACB7-627F-40DA-8A30-74E20AE4BD0B}" name="Employee ID" dataDxfId="26"/>
    <tableColumn id="2" xr3:uid="{4DDE868A-4BEE-4EB3-B00D-F5268E6D881A}" name="Employee Full Name" dataDxfId="25"/>
    <tableColumn id="3" xr3:uid="{86A907E7-788E-46F4-98BC-A19F9A01C0FA}" name="First Name" dataDxfId="24">
      <calculatedColumnFormula>LEFT(B5,SEARCH(" ",B5)-1)</calculatedColumnFormula>
    </tableColumn>
    <tableColumn id="4" xr3:uid="{A093987A-A85A-4847-B271-CFBD45F651A8}" name="Last Name" dataDxfId="23">
      <calculatedColumnFormula>MID(B5,SEARCH(" ", B5)+1,15)</calculatedColumnFormula>
    </tableColumn>
    <tableColumn id="5" xr3:uid="{D8746791-7E6E-40B9-99EA-0532CBC58281}" name="Email" dataDxfId="22">
      <calculatedColumnFormula>CONCATENATE(C5, ".", D5, "@gmail.com")</calculatedColumnFormula>
    </tableColumn>
    <tableColumn id="6" xr3:uid="{5D32CC51-402A-43DB-8ED0-771BF6CB7F1E}" name="Phone Number" dataDxfId="21"/>
    <tableColumn id="7" xr3:uid="{632955AB-6064-4FCF-9587-1BDED58F6B0A}" name="Birthday" dataDxfId="20"/>
    <tableColumn id="8" xr3:uid="{18F73CD0-C535-4FAB-BBCF-732084D01659}" name="Birthday?" dataDxfId="19">
      <calculatedColumnFormula>IF(AND(MONTH(G5) = MONTH(TODAY()), DAY(G5) = DAY(TODAY())), "Happy Birthday!", "Not birthday.")</calculatedColumnFormula>
    </tableColumn>
    <tableColumn id="9" xr3:uid="{28486FF6-800B-4B70-A4B0-BA48B368D1A3}" name="Date Employed" dataDxfId="18"/>
    <tableColumn id="10" xr3:uid="{9C367277-240F-451F-B1E3-E37F119C0E3A}" name="Years of Service" dataDxfId="17">
      <calculatedColumnFormula>(TODAY()-I5)/365</calculatedColumnFormula>
    </tableColumn>
    <tableColumn id="11" xr3:uid="{A73815D0-EC11-42EC-8629-0054EB56D066}" name="Early Retirement Date" dataDxfId="16">
      <calculatedColumnFormula>DATE(YEAR(G5)+60, MONTH(G5)+1, DAY(G5))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E0B655C-4C12-4686-BEAE-97F82B205886}" name="Table7" displayName="Table7" ref="A4:I10" totalsRowShown="0" headerRowDxfId="15" dataDxfId="13" headerRowBorderDxfId="14" tableBorderDxfId="12" totalsRowBorderDxfId="11">
  <autoFilter ref="A4:I10" xr:uid="{2D2380A3-5B12-45F6-9426-A5FE1FC30577}"/>
  <tableColumns count="9">
    <tableColumn id="1" xr3:uid="{4EB56B18-A18F-4915-85D5-A7E94FAC02C2}" name="Employee ID" dataDxfId="10"/>
    <tableColumn id="2" xr3:uid="{4564C243-8E9D-4F75-BBA7-C91B2B358F88}" name="Employee Full Name" dataDxfId="9"/>
    <tableColumn id="3" xr3:uid="{CA09BE1E-13F8-4D0E-804A-8B5218EA1F2C}" name="Type" dataDxfId="8"/>
    <tableColumn id="4" xr3:uid="{1A04A373-681F-4E9C-A20B-3700AABE923D}" name="Salary" dataDxfId="7"/>
    <tableColumn id="5" xr3:uid="{3CBF1C03-913C-4EED-883E-DBE29822E22A}" name="Total Hours Worked " dataDxfId="6"/>
    <tableColumn id="6" xr3:uid="{9EC7529B-692C-4894-821D-960A4BD25413}" name="Total Pay" dataDxfId="5">
      <calculatedColumnFormula>D5*E5</calculatedColumnFormula>
    </tableColumn>
    <tableColumn id="7" xr3:uid="{74C034A2-5DFA-45A0-BBB5-8552D696EB0C}" name="Date Employed" dataDxfId="4"/>
    <tableColumn id="8" xr3:uid="{D42F57A8-46BD-441B-B4B0-ED065B9886CC}" name="Paid Time Off" dataDxfId="3">
      <calculatedColumnFormula>Employees!J5*40</calculatedColumnFormula>
    </tableColumn>
    <tableColumn id="9" xr3:uid="{AC4411B1-10D5-456A-A3D4-01699726F350}" name="# of Services" dataDxfId="2">
      <calculatedColumnFormula>Analytics!D5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png"/><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10.emf"/><Relationship Id="rId5" Type="http://schemas.openxmlformats.org/officeDocument/2006/relationships/control" Target="../activeX/activeX1.xm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image" Target="../media/image1.png"/></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table" Target="../tables/table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8.xml"/><Relationship Id="rId5" Type="http://schemas.openxmlformats.org/officeDocument/2006/relationships/image" Target="../media/image1.png"/><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22.emf"/><Relationship Id="rId5" Type="http://schemas.openxmlformats.org/officeDocument/2006/relationships/control" Target="../activeX/activeX2.xml"/><Relationship Id="rId4" Type="http://schemas.openxmlformats.org/officeDocument/2006/relationships/image" Target="../media/image1.png"/></Relationships>
</file>

<file path=xl/worksheets/_rels/sheet9.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6.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image" Target="../media/image24.emf"/><Relationship Id="rId5" Type="http://schemas.openxmlformats.org/officeDocument/2006/relationships/control" Target="../activeX/activeX3.xml"/><Relationship Id="rId4" Type="http://schemas.openxmlformats.org/officeDocument/2006/relationships/image" Target="../media/image1.png"/></Relationships>
</file>

<file path=xl/worksheets/_rels/sheet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4.xml"/><Relationship Id="rId7" Type="http://schemas.microsoft.com/office/2007/relationships/slicer" Target="../slicers/slicer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image" Target="../media/image1.png"/><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51AAC-5044-4EE1-B233-23826411EDD0}">
  <sheetPr codeName="Sheet2">
    <pageSetUpPr autoPageBreaks="0"/>
  </sheetPr>
  <dimension ref="B1:T73"/>
  <sheetViews>
    <sheetView zoomScale="90" zoomScaleNormal="80" workbookViewId="0">
      <selection activeCell="N28" sqref="N28"/>
    </sheetView>
  </sheetViews>
  <sheetFormatPr defaultColWidth="8.86328125" defaultRowHeight="14.25" x14ac:dyDescent="0.45"/>
  <cols>
    <col min="2" max="2" width="15.265625" bestFit="1" customWidth="1"/>
    <col min="3" max="3" width="10.73046875" bestFit="1" customWidth="1"/>
    <col min="8" max="8" width="18.265625" customWidth="1"/>
    <col min="9" max="9" width="9.265625" customWidth="1"/>
    <col min="10" max="10" width="18.73046875" customWidth="1"/>
    <col min="12" max="12" width="15" customWidth="1"/>
    <col min="13" max="13" width="12.265625" customWidth="1"/>
    <col min="19" max="19" width="12.265625" customWidth="1"/>
  </cols>
  <sheetData>
    <row r="1" spans="2:20" ht="14.65" thickBot="1" x14ac:dyDescent="0.5">
      <c r="F1" s="17"/>
      <c r="M1" s="174"/>
    </row>
    <row r="2" spans="2:20" ht="18.75" customHeight="1" x14ac:dyDescent="0.45">
      <c r="H2" s="190">
        <v>44364.999803240738</v>
      </c>
      <c r="I2" s="191"/>
      <c r="J2" s="192"/>
      <c r="K2" s="160"/>
      <c r="M2" s="174"/>
    </row>
    <row r="3" spans="2:20" x14ac:dyDescent="0.45">
      <c r="H3" s="193"/>
      <c r="I3" s="194"/>
      <c r="J3" s="195"/>
      <c r="K3" s="161"/>
      <c r="M3" s="174"/>
    </row>
    <row r="4" spans="2:20" ht="14.65" thickBot="1" x14ac:dyDescent="0.5">
      <c r="H4" s="196"/>
      <c r="I4" s="197"/>
      <c r="J4" s="198"/>
      <c r="K4" s="162"/>
    </row>
    <row r="6" spans="2:20" ht="14.65" thickBot="1" x14ac:dyDescent="0.5"/>
    <row r="7" spans="2:20" ht="14.65" thickBot="1" x14ac:dyDescent="0.5">
      <c r="J7" s="20" t="s">
        <v>1</v>
      </c>
      <c r="K7" s="21" t="s">
        <v>2</v>
      </c>
      <c r="L7" s="22"/>
    </row>
    <row r="8" spans="2:20" ht="14.65" thickBot="1" x14ac:dyDescent="0.5">
      <c r="J8" s="26" t="s">
        <v>3</v>
      </c>
      <c r="K8" s="27" t="s">
        <v>4</v>
      </c>
      <c r="L8" s="28"/>
    </row>
    <row r="9" spans="2:20" ht="15" customHeight="1" thickBot="1" x14ac:dyDescent="0.5">
      <c r="B9" s="175" t="s">
        <v>5</v>
      </c>
      <c r="C9" s="176"/>
      <c r="D9" s="176"/>
      <c r="E9" s="176"/>
      <c r="F9" s="176"/>
      <c r="G9" s="176"/>
      <c r="H9" s="177"/>
      <c r="J9" s="29"/>
      <c r="K9" s="30" t="s">
        <v>6</v>
      </c>
      <c r="L9" s="31"/>
    </row>
    <row r="10" spans="2:20" ht="15.75" x14ac:dyDescent="0.5">
      <c r="B10" s="178" t="s">
        <v>7</v>
      </c>
      <c r="C10" s="179"/>
      <c r="D10" s="179"/>
      <c r="E10" s="179"/>
      <c r="F10" s="179"/>
      <c r="G10" s="179"/>
      <c r="H10" s="180"/>
      <c r="J10" s="32"/>
      <c r="K10" s="33" t="s">
        <v>8</v>
      </c>
      <c r="L10" s="34"/>
    </row>
    <row r="11" spans="2:20" ht="15.75" customHeight="1" x14ac:dyDescent="0.45">
      <c r="B11" s="178"/>
      <c r="C11" s="179"/>
      <c r="D11" s="179"/>
      <c r="E11" s="179"/>
      <c r="F11" s="179"/>
      <c r="G11" s="179"/>
      <c r="H11" s="180"/>
      <c r="J11" s="35" t="s">
        <v>9</v>
      </c>
      <c r="K11" s="36"/>
      <c r="L11" s="34"/>
    </row>
    <row r="12" spans="2:20" x14ac:dyDescent="0.45">
      <c r="B12" s="178"/>
      <c r="C12" s="179"/>
      <c r="D12" s="179"/>
      <c r="E12" s="179"/>
      <c r="F12" s="179"/>
      <c r="G12" s="179"/>
      <c r="H12" s="180"/>
      <c r="J12" s="35" t="s">
        <v>10</v>
      </c>
      <c r="K12" s="36" t="s">
        <v>11</v>
      </c>
      <c r="L12" s="34"/>
      <c r="Q12" s="16"/>
      <c r="R12" s="16"/>
      <c r="S12" s="16"/>
      <c r="T12" s="16"/>
    </row>
    <row r="13" spans="2:20" x14ac:dyDescent="0.45">
      <c r="B13" s="23"/>
      <c r="C13" s="24"/>
      <c r="D13" s="24"/>
      <c r="E13" s="24"/>
      <c r="F13" s="24"/>
      <c r="G13" s="24"/>
      <c r="H13" s="25"/>
      <c r="J13" s="35" t="s">
        <v>12</v>
      </c>
      <c r="K13" s="36" t="s">
        <v>13</v>
      </c>
      <c r="L13" s="34"/>
      <c r="Q13" s="16"/>
      <c r="R13" s="16"/>
      <c r="S13" s="16"/>
      <c r="T13" s="16" t="s">
        <v>307</v>
      </c>
    </row>
    <row r="14" spans="2:20" x14ac:dyDescent="0.45">
      <c r="B14" s="178" t="s">
        <v>14</v>
      </c>
      <c r="C14" s="179"/>
      <c r="D14" s="179"/>
      <c r="E14" s="179"/>
      <c r="F14" s="179"/>
      <c r="G14" s="179"/>
      <c r="H14" s="180"/>
      <c r="J14" s="35" t="s">
        <v>15</v>
      </c>
      <c r="K14" s="36" t="s">
        <v>13</v>
      </c>
      <c r="L14" s="34"/>
    </row>
    <row r="15" spans="2:20" ht="15.75" customHeight="1" x14ac:dyDescent="0.45">
      <c r="B15" s="178"/>
      <c r="C15" s="179"/>
      <c r="D15" s="179"/>
      <c r="E15" s="179"/>
      <c r="F15" s="179"/>
      <c r="G15" s="179"/>
      <c r="H15" s="180"/>
      <c r="J15" s="35" t="s">
        <v>16</v>
      </c>
      <c r="K15" s="36" t="s">
        <v>13</v>
      </c>
      <c r="L15" s="34"/>
    </row>
    <row r="16" spans="2:20" x14ac:dyDescent="0.45">
      <c r="B16" s="178"/>
      <c r="C16" s="179"/>
      <c r="D16" s="179"/>
      <c r="E16" s="179"/>
      <c r="F16" s="179"/>
      <c r="G16" s="179"/>
      <c r="H16" s="180"/>
      <c r="J16" s="35" t="s">
        <v>17</v>
      </c>
      <c r="K16" s="36" t="s">
        <v>13</v>
      </c>
      <c r="L16" s="34"/>
    </row>
    <row r="17" spans="2:13" x14ac:dyDescent="0.45">
      <c r="B17" s="178"/>
      <c r="C17" s="179"/>
      <c r="D17" s="179"/>
      <c r="E17" s="179"/>
      <c r="F17" s="179"/>
      <c r="G17" s="179"/>
      <c r="H17" s="180"/>
      <c r="J17" s="35" t="s">
        <v>18</v>
      </c>
      <c r="K17" s="36" t="s">
        <v>13</v>
      </c>
      <c r="L17" s="34"/>
    </row>
    <row r="18" spans="2:13" x14ac:dyDescent="0.45">
      <c r="B18" s="178"/>
      <c r="C18" s="179"/>
      <c r="D18" s="179"/>
      <c r="E18" s="179"/>
      <c r="F18" s="179"/>
      <c r="G18" s="179"/>
      <c r="H18" s="180"/>
      <c r="J18" s="35" t="s">
        <v>19</v>
      </c>
      <c r="K18" s="36" t="s">
        <v>11</v>
      </c>
      <c r="L18" s="34"/>
    </row>
    <row r="19" spans="2:13" ht="14.65" thickBot="1" x14ac:dyDescent="0.5">
      <c r="B19" s="181"/>
      <c r="C19" s="182"/>
      <c r="D19" s="182"/>
      <c r="E19" s="182"/>
      <c r="F19" s="182"/>
      <c r="G19" s="182"/>
      <c r="H19" s="183"/>
      <c r="J19" s="29"/>
      <c r="K19" s="30"/>
      <c r="L19" s="31"/>
    </row>
    <row r="21" spans="2:13" ht="14.65" thickBot="1" x14ac:dyDescent="0.5"/>
    <row r="22" spans="2:13" ht="14.65" thickBot="1" x14ac:dyDescent="0.5">
      <c r="B22" s="171" t="s">
        <v>20</v>
      </c>
      <c r="C22" s="172"/>
      <c r="D22" s="173"/>
      <c r="F22" s="171" t="s">
        <v>21</v>
      </c>
      <c r="G22" s="172"/>
      <c r="H22" s="172"/>
      <c r="I22" s="173"/>
      <c r="K22" s="171" t="s">
        <v>22</v>
      </c>
      <c r="L22" s="184"/>
      <c r="M22" s="185"/>
    </row>
    <row r="23" spans="2:13" x14ac:dyDescent="0.45">
      <c r="B23" s="186" t="s">
        <v>314</v>
      </c>
      <c r="C23" s="187"/>
      <c r="D23" s="37"/>
      <c r="F23" s="208" t="s">
        <v>316</v>
      </c>
      <c r="G23" s="209"/>
      <c r="H23" s="210"/>
      <c r="I23" s="37"/>
      <c r="K23" s="214" t="s">
        <v>350</v>
      </c>
      <c r="L23" s="215"/>
      <c r="M23" s="39"/>
    </row>
    <row r="24" spans="2:13" x14ac:dyDescent="0.45">
      <c r="B24" s="186"/>
      <c r="C24" s="187"/>
      <c r="D24" s="37"/>
      <c r="F24" s="208"/>
      <c r="G24" s="209"/>
      <c r="H24" s="210"/>
      <c r="I24" s="37"/>
      <c r="K24" s="216"/>
      <c r="L24" s="217"/>
      <c r="M24" s="40"/>
    </row>
    <row r="25" spans="2:13" x14ac:dyDescent="0.45">
      <c r="B25" s="188"/>
      <c r="C25" s="189"/>
      <c r="D25" s="38"/>
      <c r="F25" s="211"/>
      <c r="G25" s="212"/>
      <c r="H25" s="213"/>
      <c r="I25" s="38"/>
      <c r="K25" s="218" t="s">
        <v>351</v>
      </c>
      <c r="L25" s="219"/>
      <c r="M25" s="41"/>
    </row>
    <row r="26" spans="2:13" ht="14.65" thickBot="1" x14ac:dyDescent="0.5">
      <c r="K26" s="214"/>
      <c r="L26" s="215"/>
      <c r="M26" s="39"/>
    </row>
    <row r="27" spans="2:13" ht="14.65" thickBot="1" x14ac:dyDescent="0.5">
      <c r="B27" s="171" t="s">
        <v>24</v>
      </c>
      <c r="C27" s="172"/>
      <c r="D27" s="173"/>
      <c r="F27" s="171" t="s">
        <v>349</v>
      </c>
      <c r="G27" s="172"/>
      <c r="H27" s="172"/>
      <c r="I27" s="173"/>
      <c r="K27" s="216"/>
      <c r="L27" s="217"/>
      <c r="M27" s="40"/>
    </row>
    <row r="28" spans="2:13" x14ac:dyDescent="0.45">
      <c r="B28" s="186" t="s">
        <v>315</v>
      </c>
      <c r="C28" s="187"/>
      <c r="D28" s="37"/>
      <c r="F28" s="208" t="s">
        <v>317</v>
      </c>
      <c r="G28" s="209"/>
      <c r="H28" s="210"/>
      <c r="I28" s="37"/>
    </row>
    <row r="29" spans="2:13" x14ac:dyDescent="0.45">
      <c r="B29" s="186"/>
      <c r="C29" s="187"/>
      <c r="D29" s="37"/>
      <c r="F29" s="208"/>
      <c r="G29" s="209"/>
      <c r="H29" s="210"/>
      <c r="I29" s="37"/>
    </row>
    <row r="30" spans="2:13" x14ac:dyDescent="0.45">
      <c r="B30" s="188"/>
      <c r="C30" s="189"/>
      <c r="D30" s="38"/>
      <c r="F30" s="211"/>
      <c r="G30" s="212"/>
      <c r="H30" s="213"/>
      <c r="I30" s="38"/>
    </row>
    <row r="31" spans="2:13" ht="14.65" thickBot="1" x14ac:dyDescent="0.5"/>
    <row r="32" spans="2:13" ht="14.65" thickBot="1" x14ac:dyDescent="0.5">
      <c r="B32" s="171" t="s">
        <v>348</v>
      </c>
      <c r="C32" s="172"/>
      <c r="D32" s="173"/>
      <c r="F32" s="171" t="s">
        <v>26</v>
      </c>
      <c r="G32" s="172"/>
      <c r="H32" s="172"/>
      <c r="I32" s="173"/>
    </row>
    <row r="33" spans="2:9" x14ac:dyDescent="0.45">
      <c r="B33" s="203" t="s">
        <v>319</v>
      </c>
      <c r="C33" s="204"/>
      <c r="D33" s="39"/>
      <c r="F33" s="186" t="s">
        <v>318</v>
      </c>
      <c r="G33" s="206"/>
      <c r="H33" s="187"/>
      <c r="I33" s="37"/>
    </row>
    <row r="34" spans="2:9" x14ac:dyDescent="0.45">
      <c r="B34" s="201"/>
      <c r="C34" s="205"/>
      <c r="D34" s="40"/>
      <c r="F34" s="186"/>
      <c r="G34" s="206"/>
      <c r="H34" s="187"/>
      <c r="I34" s="37"/>
    </row>
    <row r="35" spans="2:9" x14ac:dyDescent="0.45">
      <c r="B35" s="199" t="s">
        <v>320</v>
      </c>
      <c r="C35" s="200"/>
      <c r="D35" s="37"/>
      <c r="F35" s="188"/>
      <c r="G35" s="207"/>
      <c r="H35" s="189"/>
      <c r="I35" s="38"/>
    </row>
    <row r="36" spans="2:9" x14ac:dyDescent="0.45">
      <c r="B36" s="201"/>
      <c r="C36" s="202"/>
      <c r="D36" s="38"/>
    </row>
    <row r="68" spans="2:2" x14ac:dyDescent="0.45">
      <c r="B68" t="s">
        <v>340</v>
      </c>
    </row>
    <row r="69" spans="2:2" x14ac:dyDescent="0.45">
      <c r="B69" t="s">
        <v>336</v>
      </c>
    </row>
    <row r="70" spans="2:2" x14ac:dyDescent="0.45">
      <c r="B70" t="s">
        <v>0</v>
      </c>
    </row>
    <row r="71" spans="2:2" x14ac:dyDescent="0.45">
      <c r="B71" t="s">
        <v>338</v>
      </c>
    </row>
    <row r="72" spans="2:2" x14ac:dyDescent="0.45">
      <c r="B72" t="s">
        <v>337</v>
      </c>
    </row>
    <row r="73" spans="2:2" x14ac:dyDescent="0.45">
      <c r="B73" t="s">
        <v>339</v>
      </c>
    </row>
  </sheetData>
  <mergeCells count="21">
    <mergeCell ref="B28:C30"/>
    <mergeCell ref="F23:H25"/>
    <mergeCell ref="F28:H30"/>
    <mergeCell ref="K23:L24"/>
    <mergeCell ref="K25:L27"/>
    <mergeCell ref="B35:C36"/>
    <mergeCell ref="B33:C34"/>
    <mergeCell ref="F33:H35"/>
    <mergeCell ref="B32:D32"/>
    <mergeCell ref="F32:I32"/>
    <mergeCell ref="B22:D22"/>
    <mergeCell ref="F22:I22"/>
    <mergeCell ref="B27:D27"/>
    <mergeCell ref="F27:I27"/>
    <mergeCell ref="M1:M3"/>
    <mergeCell ref="B9:H9"/>
    <mergeCell ref="B10:H12"/>
    <mergeCell ref="B14:H19"/>
    <mergeCell ref="K22:M22"/>
    <mergeCell ref="B23:C25"/>
    <mergeCell ref="H2:J4"/>
  </mergeCells>
  <pageMargins left="0.7" right="0.7" top="0.75" bottom="0.75" header="0.3" footer="0.3"/>
  <pageSetup orientation="landscape"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aveWithTime">
                <anchor moveWithCells="1" sizeWithCells="1">
                  <from>
                    <xdr:col>12</xdr:col>
                    <xdr:colOff>609600</xdr:colOff>
                    <xdr:row>5</xdr:row>
                    <xdr:rowOff>142875</xdr:rowOff>
                  </from>
                  <to>
                    <xdr:col>15</xdr:col>
                    <xdr:colOff>361950</xdr:colOff>
                    <xdr:row>8</xdr:row>
                    <xdr:rowOff>180975</xdr:rowOff>
                  </to>
                </anchor>
              </controlPr>
            </control>
          </mc:Choice>
        </mc:AlternateContent>
        <mc:AlternateContent xmlns:mc="http://schemas.openxmlformats.org/markup-compatibility/2006">
          <mc:Choice Requires="x14">
            <control shapeId="1026" r:id="rId6" name="Button 2">
              <controlPr defaultSize="0" print="0" autoFill="0" autoPict="0" macro="[0]!SaveWorkshetAsPDF">
                <anchor moveWithCells="1" sizeWithCells="1">
                  <from>
                    <xdr:col>12</xdr:col>
                    <xdr:colOff>581025</xdr:colOff>
                    <xdr:row>10</xdr:row>
                    <xdr:rowOff>28575</xdr:rowOff>
                  </from>
                  <to>
                    <xdr:col>15</xdr:col>
                    <xdr:colOff>333375</xdr:colOff>
                    <xdr:row>13</xdr:row>
                    <xdr:rowOff>85725</xdr:rowOff>
                  </to>
                </anchor>
              </controlPr>
            </control>
          </mc:Choice>
        </mc:AlternateContent>
        <mc:AlternateContent xmlns:mc="http://schemas.openxmlformats.org/markup-compatibility/2006">
          <mc:Choice Requires="x14">
            <control shapeId="1027" r:id="rId7" name="Button 3">
              <controlPr defaultSize="0" print="0" autoFill="0" autoPict="0" macro="[0]!ProtectAllSheets">
                <anchor moveWithCells="1" sizeWithCells="1">
                  <from>
                    <xdr:col>12</xdr:col>
                    <xdr:colOff>609600</xdr:colOff>
                    <xdr:row>14</xdr:row>
                    <xdr:rowOff>133350</xdr:rowOff>
                  </from>
                  <to>
                    <xdr:col>13</xdr:col>
                    <xdr:colOff>581025</xdr:colOff>
                    <xdr:row>17</xdr:row>
                    <xdr:rowOff>171450</xdr:rowOff>
                  </to>
                </anchor>
              </controlPr>
            </control>
          </mc:Choice>
        </mc:AlternateContent>
        <mc:AlternateContent xmlns:mc="http://schemas.openxmlformats.org/markup-compatibility/2006">
          <mc:Choice Requires="x14">
            <control shapeId="1028" r:id="rId8" name="Button 4">
              <controlPr defaultSize="0" print="0" autoFill="0" autoPict="0" macro="[0]!UnprotectAllsheets">
                <anchor moveWithCells="1" sizeWithCells="1">
                  <from>
                    <xdr:col>14</xdr:col>
                    <xdr:colOff>152400</xdr:colOff>
                    <xdr:row>14</xdr:row>
                    <xdr:rowOff>104775</xdr:rowOff>
                  </from>
                  <to>
                    <xdr:col>15</xdr:col>
                    <xdr:colOff>247650</xdr:colOff>
                    <xdr:row>17</xdr:row>
                    <xdr:rowOff>161925</xdr:rowOff>
                  </to>
                </anchor>
              </controlPr>
            </control>
          </mc:Choice>
        </mc:AlternateContent>
        <mc:AlternateContent xmlns:mc="http://schemas.openxmlformats.org/markup-compatibility/2006">
          <mc:Choice Requires="x14">
            <control shapeId="1029" r:id="rId9" name="Button 5">
              <controlPr defaultSize="0" print="0" autoFill="0" autoPict="0" macro="[0]!CloseAllWorkbook">
                <anchor moveWithCells="1" sizeWithCells="1">
                  <from>
                    <xdr:col>9</xdr:col>
                    <xdr:colOff>1238250</xdr:colOff>
                    <xdr:row>29</xdr:row>
                    <xdr:rowOff>180975</xdr:rowOff>
                  </from>
                  <to>
                    <xdr:col>11</xdr:col>
                    <xdr:colOff>990600</xdr:colOff>
                    <xdr:row>34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CDE1-7641-4EAC-8F6B-5DD25A87AAF0}">
  <sheetPr codeName="Sheet4"/>
  <dimension ref="A1:F30"/>
  <sheetViews>
    <sheetView workbookViewId="0">
      <selection activeCell="B44" sqref="B44"/>
    </sheetView>
  </sheetViews>
  <sheetFormatPr defaultColWidth="8.86328125" defaultRowHeight="14.25" x14ac:dyDescent="0.45"/>
  <cols>
    <col min="1" max="1" width="26.86328125" customWidth="1"/>
    <col min="2" max="2" width="27.265625" customWidth="1"/>
    <col min="3" max="3" width="26.265625" customWidth="1"/>
    <col min="4" max="4" width="18.265625" customWidth="1"/>
  </cols>
  <sheetData>
    <row r="1" spans="1:6" x14ac:dyDescent="0.45">
      <c r="A1" s="220"/>
      <c r="B1" s="222" t="s">
        <v>20</v>
      </c>
      <c r="F1" s="174"/>
    </row>
    <row r="2" spans="1:6" ht="18.75" customHeight="1" x14ac:dyDescent="0.45">
      <c r="A2" s="220"/>
      <c r="B2" s="223"/>
      <c r="F2" s="174"/>
    </row>
    <row r="3" spans="1:6" ht="14.65" thickBot="1" x14ac:dyDescent="0.5">
      <c r="A3" s="221"/>
      <c r="B3" s="224"/>
      <c r="F3" s="174"/>
    </row>
    <row r="4" spans="1:6" ht="14.65" thickBot="1" x14ac:dyDescent="0.5">
      <c r="A4" s="43" t="s">
        <v>77</v>
      </c>
      <c r="B4" s="44" t="s">
        <v>78</v>
      </c>
    </row>
    <row r="5" spans="1:6" ht="14.65" thickBot="1" x14ac:dyDescent="0.5">
      <c r="A5" s="47" t="s">
        <v>79</v>
      </c>
      <c r="B5" s="48"/>
    </row>
    <row r="6" spans="1:6" ht="14.65" thickTop="1" x14ac:dyDescent="0.45">
      <c r="A6" s="39" t="s">
        <v>80</v>
      </c>
      <c r="B6" s="42">
        <v>15</v>
      </c>
    </row>
    <row r="7" spans="1:6" x14ac:dyDescent="0.45">
      <c r="A7" s="39" t="s">
        <v>81</v>
      </c>
      <c r="B7" s="42">
        <v>35</v>
      </c>
    </row>
    <row r="8" spans="1:6" x14ac:dyDescent="0.45">
      <c r="A8" s="39" t="s">
        <v>82</v>
      </c>
      <c r="B8" s="42">
        <v>25</v>
      </c>
    </row>
    <row r="9" spans="1:6" x14ac:dyDescent="0.45">
      <c r="A9" s="39"/>
      <c r="B9" s="94"/>
    </row>
    <row r="10" spans="1:6" ht="14.65" thickBot="1" x14ac:dyDescent="0.5">
      <c r="A10" s="76" t="s">
        <v>83</v>
      </c>
      <c r="B10" s="46"/>
    </row>
    <row r="11" spans="1:6" ht="14.65" thickTop="1" x14ac:dyDescent="0.45">
      <c r="A11" s="39" t="s">
        <v>84</v>
      </c>
      <c r="B11" s="42">
        <v>20</v>
      </c>
    </row>
    <row r="12" spans="1:6" x14ac:dyDescent="0.45">
      <c r="A12" s="39" t="s">
        <v>85</v>
      </c>
      <c r="B12" s="42">
        <v>30</v>
      </c>
    </row>
    <row r="13" spans="1:6" x14ac:dyDescent="0.45">
      <c r="A13" s="39" t="s">
        <v>86</v>
      </c>
      <c r="B13" s="42">
        <v>25</v>
      </c>
    </row>
    <row r="14" spans="1:6" x14ac:dyDescent="0.45">
      <c r="A14" s="39" t="s">
        <v>87</v>
      </c>
      <c r="B14" s="42">
        <v>10</v>
      </c>
    </row>
    <row r="15" spans="1:6" x14ac:dyDescent="0.45">
      <c r="A15" s="39"/>
      <c r="B15" s="39"/>
    </row>
    <row r="16" spans="1:6" ht="14.65" thickBot="1" x14ac:dyDescent="0.5">
      <c r="A16" s="45" t="s">
        <v>88</v>
      </c>
      <c r="B16" s="46"/>
    </row>
    <row r="17" spans="1:2" ht="14.65" thickTop="1" x14ac:dyDescent="0.45">
      <c r="A17" s="39" t="s">
        <v>89</v>
      </c>
      <c r="B17" s="42">
        <v>10</v>
      </c>
    </row>
    <row r="18" spans="1:2" x14ac:dyDescent="0.45">
      <c r="A18" s="39" t="s">
        <v>90</v>
      </c>
      <c r="B18" s="42">
        <v>15</v>
      </c>
    </row>
    <row r="19" spans="1:2" x14ac:dyDescent="0.45">
      <c r="A19" s="39" t="s">
        <v>91</v>
      </c>
      <c r="B19" s="42">
        <v>12</v>
      </c>
    </row>
    <row r="20" spans="1:2" x14ac:dyDescent="0.45">
      <c r="A20" s="39" t="s">
        <v>92</v>
      </c>
      <c r="B20" s="42">
        <v>15</v>
      </c>
    </row>
    <row r="21" spans="1:2" x14ac:dyDescent="0.45">
      <c r="A21" s="39" t="s">
        <v>93</v>
      </c>
      <c r="B21" s="42">
        <v>10</v>
      </c>
    </row>
    <row r="22" spans="1:2" x14ac:dyDescent="0.45">
      <c r="A22" s="39" t="s">
        <v>94</v>
      </c>
      <c r="B22" s="42">
        <v>15</v>
      </c>
    </row>
    <row r="23" spans="1:2" x14ac:dyDescent="0.45">
      <c r="A23" s="39" t="s">
        <v>95</v>
      </c>
      <c r="B23" s="42">
        <v>15</v>
      </c>
    </row>
    <row r="24" spans="1:2" x14ac:dyDescent="0.45">
      <c r="A24" s="39"/>
      <c r="B24" s="39"/>
    </row>
    <row r="25" spans="1:2" ht="14.65" thickBot="1" x14ac:dyDescent="0.5">
      <c r="A25" s="45" t="s">
        <v>96</v>
      </c>
      <c r="B25" s="46"/>
    </row>
    <row r="26" spans="1:2" ht="14.65" thickTop="1" x14ac:dyDescent="0.45">
      <c r="A26" s="39" t="s">
        <v>97</v>
      </c>
      <c r="B26" s="42">
        <v>10</v>
      </c>
    </row>
    <row r="27" spans="1:2" x14ac:dyDescent="0.45">
      <c r="A27" s="39" t="s">
        <v>98</v>
      </c>
      <c r="B27" s="42">
        <v>7</v>
      </c>
    </row>
    <row r="28" spans="1:2" x14ac:dyDescent="0.45">
      <c r="A28" s="39" t="s">
        <v>98</v>
      </c>
      <c r="B28" s="42">
        <v>7</v>
      </c>
    </row>
    <row r="29" spans="1:2" x14ac:dyDescent="0.45">
      <c r="A29" s="39"/>
      <c r="B29" s="42"/>
    </row>
    <row r="30" spans="1:2" x14ac:dyDescent="0.45">
      <c r="B30" s="19"/>
    </row>
  </sheetData>
  <mergeCells count="3">
    <mergeCell ref="A1:A3"/>
    <mergeCell ref="B1:B3"/>
    <mergeCell ref="F1:F3"/>
  </mergeCells>
  <pageMargins left="0.7" right="0.7" top="0.75" bottom="0.75" header="0.3" footer="0.3"/>
  <pageSetup orientation="portrait" r:id="rId1"/>
  <drawing r:id="rId2"/>
  <picture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753C2-6985-4BE3-83F8-83842C9F6DF0}">
  <sheetPr codeName="Sheet3"/>
  <dimension ref="A1:I18"/>
  <sheetViews>
    <sheetView tabSelected="1" zoomScale="80" zoomScaleNormal="80" workbookViewId="0">
      <selection activeCell="I8" sqref="I8"/>
    </sheetView>
  </sheetViews>
  <sheetFormatPr defaultColWidth="8.86328125" defaultRowHeight="14.25" x14ac:dyDescent="0.45"/>
  <cols>
    <col min="1" max="1" width="27.265625" customWidth="1"/>
    <col min="2" max="2" width="23.265625" bestFit="1" customWidth="1"/>
    <col min="3" max="3" width="22.265625" customWidth="1"/>
    <col min="4" max="4" width="29" customWidth="1"/>
    <col min="5" max="6" width="18.265625" customWidth="1"/>
    <col min="7" max="7" width="21.265625" customWidth="1"/>
    <col min="8" max="8" width="15.265625" customWidth="1"/>
    <col min="9" max="9" width="18.265625" customWidth="1"/>
    <col min="10" max="10" width="9.73046875" bestFit="1" customWidth="1"/>
  </cols>
  <sheetData>
    <row r="1" spans="1:9" ht="15" customHeight="1" x14ac:dyDescent="0.45">
      <c r="A1" s="174"/>
      <c r="B1" s="226" t="s">
        <v>24</v>
      </c>
      <c r="C1" s="73"/>
      <c r="E1" s="174"/>
    </row>
    <row r="2" spans="1:9" x14ac:dyDescent="0.45">
      <c r="A2" s="174"/>
      <c r="B2" s="227"/>
      <c r="C2" s="74"/>
      <c r="E2" s="174"/>
    </row>
    <row r="3" spans="1:9" x14ac:dyDescent="0.45">
      <c r="A3" s="225"/>
      <c r="B3" s="228"/>
      <c r="C3" s="75"/>
      <c r="E3" s="229"/>
    </row>
    <row r="4" spans="1:9" x14ac:dyDescent="0.45">
      <c r="A4" s="138" t="s">
        <v>27</v>
      </c>
      <c r="B4" s="139" t="s">
        <v>28</v>
      </c>
      <c r="C4" s="139" t="s">
        <v>29</v>
      </c>
      <c r="D4" s="139" t="s">
        <v>30</v>
      </c>
      <c r="E4" s="139" t="s">
        <v>31</v>
      </c>
      <c r="F4" s="139" t="s">
        <v>32</v>
      </c>
      <c r="G4" s="139" t="s">
        <v>33</v>
      </c>
      <c r="H4" s="139" t="s">
        <v>34</v>
      </c>
      <c r="I4" s="140" t="s">
        <v>35</v>
      </c>
    </row>
    <row r="5" spans="1:9" x14ac:dyDescent="0.45">
      <c r="A5" s="128" t="s">
        <v>36</v>
      </c>
      <c r="B5" s="63" t="s">
        <v>37</v>
      </c>
      <c r="C5" s="63" t="str">
        <f>_xlfn.CONCAT(A5," ",B5)</f>
        <v>Wendy Yang</v>
      </c>
      <c r="D5" s="63" t="str">
        <f t="shared" ref="D5:D10" si="0">_xlfn.CONCAT(A5,"_",B5,"@gmail.com")</f>
        <v>Wendy_Yang@gmail.com</v>
      </c>
      <c r="E5" s="71" t="s">
        <v>38</v>
      </c>
      <c r="F5" s="80">
        <v>36273</v>
      </c>
      <c r="G5" s="71" t="s">
        <v>341</v>
      </c>
      <c r="H5" s="71" t="s">
        <v>341</v>
      </c>
      <c r="I5" s="129" t="str">
        <f>IF(AND(H5="Yes",G5="Yes"),"20%",IF(AND(H5="Yes",G5="No"),"10",IF(AND(H5="No",G5="yes"),"10%","0%")))</f>
        <v>0%</v>
      </c>
    </row>
    <row r="6" spans="1:9" x14ac:dyDescent="0.45">
      <c r="A6" s="128" t="s">
        <v>39</v>
      </c>
      <c r="B6" s="63" t="s">
        <v>40</v>
      </c>
      <c r="C6" s="63" t="str">
        <f t="shared" ref="C6:C18" si="1">_xlfn.CONCAT(A6," ",B6)</f>
        <v>Karina Mendoza</v>
      </c>
      <c r="D6" s="63" t="str">
        <f t="shared" si="0"/>
        <v>Karina_Mendoza@gmail.com</v>
      </c>
      <c r="E6" s="71" t="s">
        <v>41</v>
      </c>
      <c r="F6" s="80">
        <v>27862</v>
      </c>
      <c r="G6" s="71" t="s">
        <v>341</v>
      </c>
      <c r="H6" s="71" t="s">
        <v>341</v>
      </c>
      <c r="I6" s="129" t="str">
        <f t="shared" ref="I6:I18" si="2">IF(AND(H6="Yes",G6="Yes"),"20%",IF(AND(H6="Yes",G6="No"),"10",IF(AND(H6="No",G6="yes"),"10%","0%")))</f>
        <v>0%</v>
      </c>
    </row>
    <row r="7" spans="1:9" x14ac:dyDescent="0.45">
      <c r="A7" s="128" t="s">
        <v>42</v>
      </c>
      <c r="B7" s="63" t="s">
        <v>43</v>
      </c>
      <c r="C7" s="63" t="str">
        <f t="shared" si="1"/>
        <v>David Rodriguez</v>
      </c>
      <c r="D7" s="63" t="str">
        <f t="shared" si="0"/>
        <v>David_Rodriguez@gmail.com</v>
      </c>
      <c r="E7" s="71" t="s">
        <v>44</v>
      </c>
      <c r="F7" s="80">
        <v>33672</v>
      </c>
      <c r="G7" s="71" t="s">
        <v>341</v>
      </c>
      <c r="H7" s="71" t="s">
        <v>341</v>
      </c>
      <c r="I7" s="129" t="str">
        <f t="shared" si="2"/>
        <v>0%</v>
      </c>
    </row>
    <row r="8" spans="1:9" x14ac:dyDescent="0.45">
      <c r="A8" s="128" t="s">
        <v>45</v>
      </c>
      <c r="B8" s="63" t="s">
        <v>46</v>
      </c>
      <c r="C8" s="63" t="str">
        <f t="shared" si="1"/>
        <v>Denise Fernandez</v>
      </c>
      <c r="D8" s="63" t="str">
        <f t="shared" si="0"/>
        <v>Denise_Fernandez@gmail.com</v>
      </c>
      <c r="E8" s="71" t="s">
        <v>47</v>
      </c>
      <c r="F8" s="80">
        <v>35341</v>
      </c>
      <c r="G8" s="71" t="s">
        <v>341</v>
      </c>
      <c r="H8" s="71" t="s">
        <v>341</v>
      </c>
      <c r="I8" s="129" t="str">
        <f t="shared" si="2"/>
        <v>0%</v>
      </c>
    </row>
    <row r="9" spans="1:9" x14ac:dyDescent="0.45">
      <c r="A9" s="128" t="s">
        <v>48</v>
      </c>
      <c r="B9" s="63" t="s">
        <v>49</v>
      </c>
      <c r="C9" s="63" t="str">
        <f t="shared" si="1"/>
        <v>Jeffrey Sanchez</v>
      </c>
      <c r="D9" s="63" t="str">
        <f t="shared" si="0"/>
        <v>Jeffrey_Sanchez@gmail.com</v>
      </c>
      <c r="E9" s="71" t="s">
        <v>50</v>
      </c>
      <c r="F9" s="80">
        <v>32776</v>
      </c>
      <c r="G9" s="71" t="s">
        <v>341</v>
      </c>
      <c r="H9" s="71" t="s">
        <v>341</v>
      </c>
      <c r="I9" s="129" t="str">
        <f t="shared" si="2"/>
        <v>0%</v>
      </c>
    </row>
    <row r="10" spans="1:9" x14ac:dyDescent="0.45">
      <c r="A10" s="128" t="s">
        <v>51</v>
      </c>
      <c r="B10" s="63" t="s">
        <v>52</v>
      </c>
      <c r="C10" s="63" t="str">
        <f t="shared" si="1"/>
        <v>Monica  Galindo</v>
      </c>
      <c r="D10" s="63" t="str">
        <f t="shared" si="0"/>
        <v>Monica _Galindo@gmail.com</v>
      </c>
      <c r="E10" s="71" t="s">
        <v>53</v>
      </c>
      <c r="F10" s="80">
        <v>34064</v>
      </c>
      <c r="G10" s="71" t="s">
        <v>341</v>
      </c>
      <c r="H10" s="71" t="s">
        <v>341</v>
      </c>
      <c r="I10" s="129" t="str">
        <f t="shared" si="2"/>
        <v>0%</v>
      </c>
    </row>
    <row r="11" spans="1:9" x14ac:dyDescent="0.45">
      <c r="A11" s="128" t="s">
        <v>54</v>
      </c>
      <c r="B11" s="63" t="s">
        <v>55</v>
      </c>
      <c r="C11" s="63" t="str">
        <f t="shared" si="1"/>
        <v>Jessica Hacinto</v>
      </c>
      <c r="D11" s="63" t="str">
        <f t="shared" ref="D11:D18" si="3">_xlfn.CONCAT(A11,"_",B11,"@gmail.com")</f>
        <v>Jessica_Hacinto@gmail.com</v>
      </c>
      <c r="E11" s="71" t="s">
        <v>56</v>
      </c>
      <c r="F11" s="80">
        <v>33003</v>
      </c>
      <c r="G11" s="71" t="s">
        <v>342</v>
      </c>
      <c r="H11" s="71" t="s">
        <v>341</v>
      </c>
      <c r="I11" s="129" t="str">
        <f t="shared" si="2"/>
        <v>10%</v>
      </c>
    </row>
    <row r="12" spans="1:9" x14ac:dyDescent="0.45">
      <c r="A12" s="128" t="s">
        <v>0</v>
      </c>
      <c r="B12" s="63" t="s">
        <v>57</v>
      </c>
      <c r="C12" s="63" t="str">
        <f t="shared" si="1"/>
        <v>Leslie Suarez</v>
      </c>
      <c r="D12" s="63" t="str">
        <f t="shared" si="3"/>
        <v>Leslie_Suarez@gmail.com</v>
      </c>
      <c r="E12" s="71" t="s">
        <v>58</v>
      </c>
      <c r="F12" s="80">
        <v>31913</v>
      </c>
      <c r="G12" s="71" t="s">
        <v>342</v>
      </c>
      <c r="H12" s="71" t="s">
        <v>341</v>
      </c>
      <c r="I12" s="129" t="str">
        <f t="shared" si="2"/>
        <v>10%</v>
      </c>
    </row>
    <row r="13" spans="1:9" x14ac:dyDescent="0.45">
      <c r="A13" s="128" t="s">
        <v>59</v>
      </c>
      <c r="B13" s="63" t="s">
        <v>60</v>
      </c>
      <c r="C13" s="63" t="str">
        <f t="shared" si="1"/>
        <v>Keightlyn Whitner</v>
      </c>
      <c r="D13" s="63" t="str">
        <f t="shared" si="3"/>
        <v>Keightlyn_Whitner@gmail.com</v>
      </c>
      <c r="E13" s="71" t="s">
        <v>61</v>
      </c>
      <c r="F13" s="80">
        <v>35115</v>
      </c>
      <c r="G13" s="71" t="s">
        <v>341</v>
      </c>
      <c r="H13" s="71" t="s">
        <v>341</v>
      </c>
      <c r="I13" s="129" t="str">
        <f t="shared" si="2"/>
        <v>0%</v>
      </c>
    </row>
    <row r="14" spans="1:9" x14ac:dyDescent="0.45">
      <c r="A14" s="128" t="s">
        <v>62</v>
      </c>
      <c r="B14" s="63" t="s">
        <v>63</v>
      </c>
      <c r="C14" s="63" t="str">
        <f t="shared" si="1"/>
        <v>Cinthia Solano</v>
      </c>
      <c r="D14" s="63" t="str">
        <f t="shared" si="3"/>
        <v>Cinthia_Solano@gmail.com</v>
      </c>
      <c r="E14" s="71" t="s">
        <v>64</v>
      </c>
      <c r="F14" s="80">
        <v>29290</v>
      </c>
      <c r="G14" s="71" t="s">
        <v>341</v>
      </c>
      <c r="H14" s="71" t="s">
        <v>341</v>
      </c>
      <c r="I14" s="129" t="str">
        <f t="shared" si="2"/>
        <v>0%</v>
      </c>
    </row>
    <row r="15" spans="1:9" x14ac:dyDescent="0.45">
      <c r="A15" s="128" t="s">
        <v>65</v>
      </c>
      <c r="B15" s="63" t="s">
        <v>66</v>
      </c>
      <c r="C15" s="63" t="str">
        <f t="shared" si="1"/>
        <v>Christina Ramirez</v>
      </c>
      <c r="D15" s="63" t="str">
        <f t="shared" si="3"/>
        <v>Christina_Ramirez@gmail.com</v>
      </c>
      <c r="E15" s="71" t="s">
        <v>67</v>
      </c>
      <c r="F15" s="80">
        <v>37306</v>
      </c>
      <c r="G15" s="71" t="s">
        <v>341</v>
      </c>
      <c r="H15" s="71" t="s">
        <v>341</v>
      </c>
      <c r="I15" s="129" t="str">
        <f t="shared" si="2"/>
        <v>0%</v>
      </c>
    </row>
    <row r="16" spans="1:9" x14ac:dyDescent="0.45">
      <c r="A16" s="128" t="s">
        <v>68</v>
      </c>
      <c r="B16" s="63" t="s">
        <v>69</v>
      </c>
      <c r="C16" s="63" t="str">
        <f t="shared" si="1"/>
        <v>Sarah Smith</v>
      </c>
      <c r="D16" s="63" t="str">
        <f t="shared" si="3"/>
        <v>Sarah_Smith@gmail.com</v>
      </c>
      <c r="E16" s="71" t="s">
        <v>70</v>
      </c>
      <c r="F16" s="80">
        <v>36343</v>
      </c>
      <c r="G16" s="71" t="s">
        <v>341</v>
      </c>
      <c r="H16" s="71" t="s">
        <v>341</v>
      </c>
      <c r="I16" s="129" t="str">
        <f t="shared" si="2"/>
        <v>0%</v>
      </c>
    </row>
    <row r="17" spans="1:9" x14ac:dyDescent="0.45">
      <c r="A17" s="128" t="s">
        <v>71</v>
      </c>
      <c r="B17" s="63" t="s">
        <v>72</v>
      </c>
      <c r="C17" s="63" t="str">
        <f t="shared" si="1"/>
        <v>Elizabeth White</v>
      </c>
      <c r="D17" s="63" t="str">
        <f t="shared" si="3"/>
        <v>Elizabeth_White@gmail.com</v>
      </c>
      <c r="E17" s="71" t="s">
        <v>73</v>
      </c>
      <c r="F17" s="80">
        <v>33758</v>
      </c>
      <c r="G17" s="71" t="s">
        <v>341</v>
      </c>
      <c r="H17" s="71" t="s">
        <v>341</v>
      </c>
      <c r="I17" s="129" t="str">
        <f t="shared" si="2"/>
        <v>0%</v>
      </c>
    </row>
    <row r="18" spans="1:9" x14ac:dyDescent="0.45">
      <c r="A18" s="130" t="s">
        <v>74</v>
      </c>
      <c r="B18" s="121" t="s">
        <v>75</v>
      </c>
      <c r="C18" s="121" t="str">
        <f t="shared" si="1"/>
        <v>Shaileen Brooks</v>
      </c>
      <c r="D18" s="121" t="str">
        <f t="shared" si="3"/>
        <v>Shaileen_Brooks@gmail.com</v>
      </c>
      <c r="E18" s="122" t="s">
        <v>76</v>
      </c>
      <c r="F18" s="131">
        <v>37742</v>
      </c>
      <c r="G18" s="122" t="s">
        <v>342</v>
      </c>
      <c r="H18" s="122" t="s">
        <v>341</v>
      </c>
      <c r="I18" s="132" t="str">
        <f t="shared" si="2"/>
        <v>10%</v>
      </c>
    </row>
  </sheetData>
  <mergeCells count="3">
    <mergeCell ref="A1:A3"/>
    <mergeCell ref="B1:B3"/>
    <mergeCell ref="E1:E3"/>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2049" r:id="rId5" name="CommandButton1">
          <controlPr defaultSize="0" autoLine="0" r:id="rId6">
            <anchor moveWithCells="1">
              <from>
                <xdr:col>10</xdr:col>
                <xdr:colOff>0</xdr:colOff>
                <xdr:row>9</xdr:row>
                <xdr:rowOff>152400</xdr:rowOff>
              </from>
              <to>
                <xdr:col>12</xdr:col>
                <xdr:colOff>533400</xdr:colOff>
                <xdr:row>14</xdr:row>
                <xdr:rowOff>57150</xdr:rowOff>
              </to>
            </anchor>
          </controlPr>
        </control>
      </mc:Choice>
      <mc:Fallback>
        <control shapeId="2049" r:id="rId5" name="CommandButton1"/>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7817F-6E08-4AF1-A15F-699563B126D5}">
  <sheetPr codeName="Sheet7"/>
  <dimension ref="A1:S30"/>
  <sheetViews>
    <sheetView zoomScale="80" zoomScaleNormal="80" workbookViewId="0">
      <selection activeCell="D57" sqref="D57"/>
    </sheetView>
  </sheetViews>
  <sheetFormatPr defaultRowHeight="14.25" x14ac:dyDescent="0.45"/>
  <cols>
    <col min="1" max="1" width="8" customWidth="1"/>
    <col min="2" max="2" width="18.265625" customWidth="1"/>
    <col min="3" max="3" width="15.265625" customWidth="1"/>
    <col min="4" max="4" width="16" customWidth="1"/>
    <col min="5" max="5" width="13" customWidth="1"/>
    <col min="6" max="6" width="16.86328125" customWidth="1"/>
  </cols>
  <sheetData>
    <row r="1" spans="1:19" ht="15" customHeight="1" x14ac:dyDescent="0.45">
      <c r="A1" s="55"/>
      <c r="B1" s="52"/>
    </row>
    <row r="2" spans="1:19" x14ac:dyDescent="0.45">
      <c r="A2" s="55"/>
      <c r="B2" s="53"/>
    </row>
    <row r="3" spans="1:19" x14ac:dyDescent="0.45">
      <c r="A3" s="55"/>
      <c r="B3" s="54"/>
    </row>
    <row r="5" spans="1:19" x14ac:dyDescent="0.45">
      <c r="S5" t="s">
        <v>307</v>
      </c>
    </row>
    <row r="6" spans="1:19" x14ac:dyDescent="0.45">
      <c r="B6" s="51"/>
      <c r="C6" s="51"/>
      <c r="D6" s="51"/>
      <c r="E6" s="51"/>
      <c r="F6" s="51"/>
    </row>
    <row r="7" spans="1:19" x14ac:dyDescent="0.45">
      <c r="B7" s="51"/>
      <c r="C7" s="51"/>
      <c r="D7" s="51"/>
      <c r="E7" s="51"/>
      <c r="F7" s="51"/>
    </row>
    <row r="8" spans="1:19" x14ac:dyDescent="0.45">
      <c r="B8" s="51"/>
      <c r="C8" s="51"/>
      <c r="D8" s="51"/>
      <c r="E8" s="51"/>
      <c r="F8" s="51"/>
    </row>
    <row r="9" spans="1:19" ht="14.65" thickBot="1" x14ac:dyDescent="0.5">
      <c r="B9" s="51"/>
      <c r="C9" s="51"/>
      <c r="D9" s="51"/>
      <c r="E9" s="51"/>
      <c r="F9" s="51"/>
    </row>
    <row r="10" spans="1:19" ht="14.65" thickBot="1" x14ac:dyDescent="0.5">
      <c r="B10" s="51"/>
      <c r="C10" s="20" t="s">
        <v>1</v>
      </c>
      <c r="D10" s="21" t="s">
        <v>2</v>
      </c>
      <c r="E10" s="22"/>
      <c r="F10" s="51"/>
    </row>
    <row r="11" spans="1:19" x14ac:dyDescent="0.45">
      <c r="B11" s="51"/>
      <c r="C11" s="26" t="s">
        <v>3</v>
      </c>
      <c r="D11" s="27" t="s">
        <v>4</v>
      </c>
      <c r="E11" s="28"/>
      <c r="F11" s="51"/>
    </row>
    <row r="12" spans="1:19" ht="14.65" thickBot="1" x14ac:dyDescent="0.5">
      <c r="B12" s="51"/>
      <c r="C12" s="29"/>
      <c r="D12" s="30" t="s">
        <v>6</v>
      </c>
      <c r="E12" s="31"/>
      <c r="F12" s="51"/>
    </row>
    <row r="13" spans="1:19" x14ac:dyDescent="0.45">
      <c r="B13" s="51"/>
      <c r="C13" s="51"/>
      <c r="D13" s="51"/>
      <c r="E13" s="51"/>
      <c r="F13" s="51"/>
    </row>
    <row r="14" spans="1:19" x14ac:dyDescent="0.45">
      <c r="B14" s="59" t="s">
        <v>99</v>
      </c>
      <c r="C14" s="56">
        <f ca="1">TODAY()</f>
        <v>44364</v>
      </c>
      <c r="D14" s="51"/>
      <c r="E14" s="59" t="s">
        <v>100</v>
      </c>
      <c r="F14" s="50">
        <v>21</v>
      </c>
    </row>
    <row r="15" spans="1:19" x14ac:dyDescent="0.45">
      <c r="B15" s="59" t="s">
        <v>101</v>
      </c>
      <c r="C15" s="93"/>
      <c r="D15" s="51"/>
      <c r="E15" s="59" t="s">
        <v>102</v>
      </c>
      <c r="F15" s="93"/>
    </row>
    <row r="16" spans="1:19" x14ac:dyDescent="0.45">
      <c r="B16" s="59" t="s">
        <v>1</v>
      </c>
      <c r="C16" s="93" t="str">
        <f>IF(ISBLANK(C15),"",VLOOKUP(C15,Members!C5:I18,3,FALSE))</f>
        <v/>
      </c>
      <c r="D16" s="51"/>
      <c r="E16" s="51"/>
      <c r="F16" s="51"/>
    </row>
    <row r="17" spans="2:6" x14ac:dyDescent="0.45">
      <c r="B17" s="51"/>
      <c r="C17" s="51"/>
      <c r="D17" s="51"/>
      <c r="E17" s="51"/>
      <c r="F17" s="51"/>
    </row>
    <row r="18" spans="2:6" x14ac:dyDescent="0.45">
      <c r="B18" s="57"/>
      <c r="C18" s="49" t="s">
        <v>23</v>
      </c>
      <c r="D18" s="49" t="s">
        <v>78</v>
      </c>
      <c r="E18" s="51"/>
      <c r="F18" s="51"/>
    </row>
    <row r="19" spans="2:6" x14ac:dyDescent="0.45">
      <c r="B19" s="98" t="s">
        <v>323</v>
      </c>
      <c r="C19" s="50"/>
      <c r="D19" s="95" t="str">
        <f>IF(ISBLANK(C19), "", VLOOKUP(C19,Services!$A$5:$B$30,2,FALSE))</f>
        <v/>
      </c>
      <c r="E19" s="51"/>
      <c r="F19" s="51"/>
    </row>
    <row r="20" spans="2:6" x14ac:dyDescent="0.45">
      <c r="B20" s="98" t="s">
        <v>324</v>
      </c>
      <c r="C20" s="50"/>
      <c r="D20" s="95" t="str">
        <f>IF(ISBLANK(C20), "", VLOOKUP(C20,Services!$A$5:$B$30,2,FALSE))</f>
        <v/>
      </c>
      <c r="E20" s="51"/>
      <c r="F20" s="51"/>
    </row>
    <row r="21" spans="2:6" x14ac:dyDescent="0.45">
      <c r="B21" s="98" t="s">
        <v>327</v>
      </c>
      <c r="C21" s="50"/>
      <c r="D21" s="95" t="str">
        <f>IF(ISBLANK(C21), "", VLOOKUP(C21,Services!$A$5:$B$30,2,FALSE))</f>
        <v/>
      </c>
      <c r="E21" s="51"/>
      <c r="F21" s="51"/>
    </row>
    <row r="22" spans="2:6" x14ac:dyDescent="0.45">
      <c r="B22" s="98" t="s">
        <v>325</v>
      </c>
      <c r="C22" s="50"/>
      <c r="D22" s="95" t="str">
        <f>IF(ISBLANK(C22), "", VLOOKUP(C22,Services!$A$5:$B$30,2,FALSE))</f>
        <v/>
      </c>
      <c r="E22" s="51"/>
      <c r="F22" s="51"/>
    </row>
    <row r="23" spans="2:6" x14ac:dyDescent="0.45">
      <c r="B23" s="51"/>
      <c r="C23" s="51"/>
      <c r="D23" s="51"/>
      <c r="E23" s="51"/>
      <c r="F23" s="51"/>
    </row>
    <row r="24" spans="2:6" x14ac:dyDescent="0.45">
      <c r="B24" s="51"/>
      <c r="C24" s="57" t="s">
        <v>104</v>
      </c>
      <c r="D24" s="96" t="str">
        <f>IF(ISBLANK(C15),"",SUM(D19:D22))</f>
        <v/>
      </c>
      <c r="E24" s="51"/>
      <c r="F24" s="51"/>
    </row>
    <row r="25" spans="2:6" x14ac:dyDescent="0.45">
      <c r="B25" s="51"/>
      <c r="C25" s="57" t="s">
        <v>105</v>
      </c>
      <c r="D25" s="100" t="str">
        <f>IF(ISBLANK(C15),"",VLOOKUP(C15,Members!C5:I18,7,FALSE))</f>
        <v/>
      </c>
      <c r="E25" s="51"/>
      <c r="F25" s="51"/>
    </row>
    <row r="26" spans="2:6" x14ac:dyDescent="0.45">
      <c r="B26" s="51"/>
      <c r="C26" s="57" t="s">
        <v>106</v>
      </c>
      <c r="D26" s="97" t="str">
        <f>IF(ISBLANK(C15),"", D24-(D24*D25))</f>
        <v/>
      </c>
      <c r="E26" s="51"/>
      <c r="F26" s="51"/>
    </row>
    <row r="27" spans="2:6" x14ac:dyDescent="0.45">
      <c r="B27" s="51"/>
      <c r="C27" s="57" t="s">
        <v>107</v>
      </c>
      <c r="D27" s="95" t="str">
        <f>IF(ISBLANK(C15),"", D26*0.075)</f>
        <v/>
      </c>
      <c r="E27" s="51"/>
      <c r="F27" s="51"/>
    </row>
    <row r="28" spans="2:6" x14ac:dyDescent="0.45">
      <c r="B28" s="51"/>
      <c r="C28" s="51"/>
      <c r="D28" s="51"/>
      <c r="E28" s="51"/>
      <c r="F28" s="51"/>
    </row>
    <row r="29" spans="2:6" x14ac:dyDescent="0.45">
      <c r="B29" s="51"/>
      <c r="C29" s="60" t="s">
        <v>108</v>
      </c>
      <c r="D29" s="72" t="str">
        <f>IF(ISBLANK(C15),"", D26+D27)</f>
        <v/>
      </c>
      <c r="E29" s="51"/>
      <c r="F29" s="51"/>
    </row>
    <row r="30" spans="2:6" x14ac:dyDescent="0.45">
      <c r="B30" s="51"/>
      <c r="C30" s="51"/>
      <c r="D30" s="51"/>
      <c r="E30" s="51"/>
      <c r="F30" s="51"/>
    </row>
  </sheetData>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4128" r:id="rId5" name="Button 32">
              <controlPr defaultSize="0" print="0" autoFill="0" autoPict="0" macro="[0]!InvoiceToTransactions">
                <anchor moveWithCells="1" sizeWithCells="1">
                  <from>
                    <xdr:col>7</xdr:col>
                    <xdr:colOff>19050</xdr:colOff>
                    <xdr:row>6</xdr:row>
                    <xdr:rowOff>190500</xdr:rowOff>
                  </from>
                  <to>
                    <xdr:col>10</xdr:col>
                    <xdr:colOff>0</xdr:colOff>
                    <xdr:row>10</xdr:row>
                    <xdr:rowOff>19050</xdr:rowOff>
                  </to>
                </anchor>
              </controlPr>
            </control>
          </mc:Choice>
        </mc:AlternateContent>
        <mc:AlternateContent xmlns:mc="http://schemas.openxmlformats.org/markup-compatibility/2006">
          <mc:Choice Requires="x14">
            <control shapeId="4131" r:id="rId6" name="Button 35">
              <controlPr defaultSize="0" print="0" autoFill="0" autoPict="0" macro="[0]!Clear_Content">
                <anchor moveWithCells="1" sizeWithCells="1">
                  <from>
                    <xdr:col>7</xdr:col>
                    <xdr:colOff>0</xdr:colOff>
                    <xdr:row>11</xdr:row>
                    <xdr:rowOff>19050</xdr:rowOff>
                  </from>
                  <to>
                    <xdr:col>10</xdr:col>
                    <xdr:colOff>19050</xdr:colOff>
                    <xdr:row>14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15BF5F79-B1EC-4746-B91F-652C22328C0F}">
          <x14:formula1>
            <xm:f>Members!$C$5:$C$20</xm:f>
          </x14:formula1>
          <xm:sqref>C15</xm:sqref>
        </x14:dataValidation>
        <x14:dataValidation type="list" allowBlank="1" showInputMessage="1" showErrorMessage="1" xr:uid="{DA6DE484-C270-48AB-93FE-FCC1CEF1F0EE}">
          <x14:formula1>
            <xm:f>Services!$A$11:$A$14</xm:f>
          </x14:formula1>
          <xm:sqref>C20</xm:sqref>
        </x14:dataValidation>
        <x14:dataValidation type="list" allowBlank="1" showInputMessage="1" showErrorMessage="1" xr:uid="{FE531B22-190F-41EE-BE51-54CA57B91A95}">
          <x14:formula1>
            <xm:f>Services!$A$6:$A$8</xm:f>
          </x14:formula1>
          <xm:sqref>C19</xm:sqref>
        </x14:dataValidation>
        <x14:dataValidation type="list" allowBlank="1" showInputMessage="1" showErrorMessage="1" xr:uid="{FCC9BC7A-E698-438A-ADDE-46BAA015E094}">
          <x14:formula1>
            <xm:f>Services!$A$17:$A$23</xm:f>
          </x14:formula1>
          <xm:sqref>C21</xm:sqref>
        </x14:dataValidation>
        <x14:dataValidation type="list" allowBlank="1" showInputMessage="1" showErrorMessage="1" xr:uid="{653F884E-C21F-44B5-B179-9D3B7105DEB4}">
          <x14:formula1>
            <xm:f>Services!$A$26:$A$28</xm:f>
          </x14:formula1>
          <xm:sqref>C22</xm:sqref>
        </x14:dataValidation>
        <x14:dataValidation type="list" allowBlank="1" showInputMessage="1" showErrorMessage="1" xr:uid="{FE581341-240F-4CF7-8747-3425571063CF}">
          <x14:formula1>
            <xm:f>Employees!$B$5:$B$15</xm:f>
          </x14:formula1>
          <xm:sqref>F15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0B57D-5470-4E1B-9D7C-6FC4A37D97E7}">
  <sheetPr codeName="Sheet10"/>
  <dimension ref="A1:O19"/>
  <sheetViews>
    <sheetView zoomScale="80" zoomScaleNormal="80" workbookViewId="0">
      <selection activeCell="M5" sqref="M5"/>
    </sheetView>
  </sheetViews>
  <sheetFormatPr defaultRowHeight="14.25" x14ac:dyDescent="0.45"/>
  <cols>
    <col min="1" max="1" width="22.73046875" customWidth="1"/>
    <col min="2" max="2" width="11" customWidth="1"/>
    <col min="3" max="4" width="16.73046875" customWidth="1"/>
    <col min="5" max="5" width="20.265625" customWidth="1"/>
    <col min="6" max="6" width="16.73046875" customWidth="1"/>
    <col min="7" max="7" width="19.86328125" customWidth="1"/>
    <col min="8" max="8" width="18.59765625" customWidth="1"/>
    <col min="9" max="9" width="21.265625" customWidth="1"/>
    <col min="10" max="10" width="23" customWidth="1"/>
    <col min="11" max="11" width="11.265625" customWidth="1"/>
    <col min="12" max="13" width="16.73046875" customWidth="1"/>
    <col min="14" max="14" width="21" customWidth="1"/>
    <col min="15" max="15" width="14.59765625" customWidth="1"/>
  </cols>
  <sheetData>
    <row r="1" spans="1:15" ht="18.75" customHeight="1" x14ac:dyDescent="0.45">
      <c r="A1" s="174"/>
      <c r="B1" s="226" t="s">
        <v>25</v>
      </c>
      <c r="C1" s="226"/>
      <c r="D1" s="92"/>
      <c r="E1" s="92"/>
      <c r="F1" s="92"/>
      <c r="G1" s="174"/>
    </row>
    <row r="2" spans="1:15" ht="18" x14ac:dyDescent="0.45">
      <c r="A2" s="174"/>
      <c r="B2" s="226"/>
      <c r="C2" s="226"/>
      <c r="D2" s="92"/>
      <c r="E2" s="92"/>
      <c r="F2" s="92"/>
      <c r="G2" s="174"/>
    </row>
    <row r="3" spans="1:15" ht="18" x14ac:dyDescent="0.45">
      <c r="A3" s="174"/>
      <c r="B3" s="230"/>
      <c r="C3" s="230"/>
      <c r="D3" s="99"/>
      <c r="E3" s="99"/>
      <c r="F3" s="99"/>
      <c r="G3" s="229"/>
    </row>
    <row r="4" spans="1:15" x14ac:dyDescent="0.45">
      <c r="A4" s="141" t="s">
        <v>109</v>
      </c>
      <c r="B4" s="142" t="s">
        <v>110</v>
      </c>
      <c r="C4" s="142" t="s">
        <v>79</v>
      </c>
      <c r="D4" s="142" t="s">
        <v>83</v>
      </c>
      <c r="E4" s="142" t="s">
        <v>328</v>
      </c>
      <c r="F4" s="142" t="s">
        <v>329</v>
      </c>
      <c r="G4" s="142" t="s">
        <v>330</v>
      </c>
      <c r="H4" s="142" t="s">
        <v>331</v>
      </c>
      <c r="I4" s="142" t="s">
        <v>332</v>
      </c>
      <c r="J4" s="142" t="s">
        <v>333</v>
      </c>
      <c r="K4" s="142" t="s">
        <v>111</v>
      </c>
      <c r="L4" s="142" t="s">
        <v>112</v>
      </c>
      <c r="M4" s="143" t="s">
        <v>113</v>
      </c>
      <c r="O4" s="61"/>
    </row>
    <row r="5" spans="1:15" x14ac:dyDescent="0.45">
      <c r="A5" s="38" t="s">
        <v>364</v>
      </c>
      <c r="B5" s="166">
        <v>44362</v>
      </c>
      <c r="C5" s="40" t="s">
        <v>81</v>
      </c>
      <c r="D5" s="40"/>
      <c r="E5" s="40" t="s">
        <v>93</v>
      </c>
      <c r="F5" s="40"/>
      <c r="G5" s="167">
        <v>35</v>
      </c>
      <c r="H5" s="167" t="s">
        <v>335</v>
      </c>
      <c r="I5" s="167">
        <v>10</v>
      </c>
      <c r="J5" s="167" t="s">
        <v>335</v>
      </c>
      <c r="K5" s="168" t="s">
        <v>360</v>
      </c>
      <c r="L5" s="169">
        <v>48.375</v>
      </c>
      <c r="M5" s="170" t="s">
        <v>295</v>
      </c>
    </row>
    <row r="6" spans="1:15" x14ac:dyDescent="0.45">
      <c r="A6" s="38" t="s">
        <v>362</v>
      </c>
      <c r="B6" s="166">
        <v>44362</v>
      </c>
      <c r="C6" s="40" t="s">
        <v>82</v>
      </c>
      <c r="D6" s="40"/>
      <c r="E6" s="40" t="s">
        <v>92</v>
      </c>
      <c r="F6" s="40"/>
      <c r="G6" s="167">
        <v>25</v>
      </c>
      <c r="H6" s="167" t="s">
        <v>335</v>
      </c>
      <c r="I6" s="167">
        <v>15</v>
      </c>
      <c r="J6" s="167" t="s">
        <v>335</v>
      </c>
      <c r="K6" s="168" t="s">
        <v>363</v>
      </c>
      <c r="L6" s="169">
        <v>38.700000000000003</v>
      </c>
      <c r="M6" s="170" t="s">
        <v>295</v>
      </c>
    </row>
    <row r="7" spans="1:15" x14ac:dyDescent="0.45">
      <c r="A7" s="38" t="s">
        <v>359</v>
      </c>
      <c r="B7" s="166">
        <v>44325</v>
      </c>
      <c r="C7" s="40" t="s">
        <v>82</v>
      </c>
      <c r="D7" s="40" t="s">
        <v>84</v>
      </c>
      <c r="E7" s="40"/>
      <c r="F7" s="40"/>
      <c r="G7" s="167">
        <v>25</v>
      </c>
      <c r="H7" s="167">
        <v>20</v>
      </c>
      <c r="I7" s="167" t="s">
        <v>335</v>
      </c>
      <c r="J7" s="167" t="s">
        <v>335</v>
      </c>
      <c r="K7" s="168" t="s">
        <v>360</v>
      </c>
      <c r="L7" s="169">
        <v>48.375</v>
      </c>
      <c r="M7" s="170" t="s">
        <v>296</v>
      </c>
    </row>
    <row r="8" spans="1:15" x14ac:dyDescent="0.45">
      <c r="A8" s="133" t="s">
        <v>347</v>
      </c>
      <c r="B8" s="80">
        <v>44316</v>
      </c>
      <c r="C8" s="58"/>
      <c r="D8" s="58" t="s">
        <v>86</v>
      </c>
      <c r="E8" s="58" t="s">
        <v>95</v>
      </c>
      <c r="F8" s="58" t="s">
        <v>97</v>
      </c>
      <c r="G8" s="79" t="s">
        <v>335</v>
      </c>
      <c r="H8" s="79">
        <v>25</v>
      </c>
      <c r="I8" s="79">
        <v>15</v>
      </c>
      <c r="J8" s="79">
        <v>10</v>
      </c>
      <c r="K8" s="108">
        <v>0</v>
      </c>
      <c r="L8" s="101">
        <v>52</v>
      </c>
      <c r="M8" s="115" t="s">
        <v>294</v>
      </c>
    </row>
    <row r="9" spans="1:15" x14ac:dyDescent="0.45">
      <c r="A9" s="133" t="s">
        <v>346</v>
      </c>
      <c r="B9" s="80">
        <v>44316</v>
      </c>
      <c r="C9" s="58"/>
      <c r="D9" s="58" t="s">
        <v>87</v>
      </c>
      <c r="E9" s="58" t="s">
        <v>90</v>
      </c>
      <c r="F9" s="58"/>
      <c r="G9" s="79" t="s">
        <v>335</v>
      </c>
      <c r="H9" s="79">
        <v>10</v>
      </c>
      <c r="I9" s="79">
        <v>15</v>
      </c>
      <c r="J9" s="79" t="s">
        <v>335</v>
      </c>
      <c r="K9" s="108">
        <v>0</v>
      </c>
      <c r="L9" s="101">
        <v>27</v>
      </c>
      <c r="M9" s="115" t="s">
        <v>291</v>
      </c>
    </row>
    <row r="10" spans="1:15" x14ac:dyDescent="0.45">
      <c r="A10" s="133" t="s">
        <v>345</v>
      </c>
      <c r="B10" s="80">
        <v>44316</v>
      </c>
      <c r="C10" s="58"/>
      <c r="D10" s="58" t="s">
        <v>84</v>
      </c>
      <c r="E10" s="58" t="s">
        <v>92</v>
      </c>
      <c r="F10" s="58"/>
      <c r="G10" s="79" t="s">
        <v>335</v>
      </c>
      <c r="H10" s="79">
        <v>20</v>
      </c>
      <c r="I10" s="79">
        <v>15</v>
      </c>
      <c r="J10" s="79" t="s">
        <v>335</v>
      </c>
      <c r="K10" s="108">
        <v>0.1</v>
      </c>
      <c r="L10" s="101">
        <v>33.5</v>
      </c>
      <c r="M10" s="115" t="s">
        <v>291</v>
      </c>
    </row>
    <row r="11" spans="1:15" x14ac:dyDescent="0.45">
      <c r="A11" s="133" t="s">
        <v>344</v>
      </c>
      <c r="B11" s="80">
        <v>44316</v>
      </c>
      <c r="C11" s="58" t="s">
        <v>82</v>
      </c>
      <c r="D11" s="58" t="s">
        <v>87</v>
      </c>
      <c r="E11" s="58" t="s">
        <v>94</v>
      </c>
      <c r="F11" s="58"/>
      <c r="G11" s="79">
        <v>25</v>
      </c>
      <c r="H11" s="79">
        <v>10</v>
      </c>
      <c r="I11" s="79">
        <v>15</v>
      </c>
      <c r="J11" s="79" t="s">
        <v>335</v>
      </c>
      <c r="K11" s="102">
        <v>0</v>
      </c>
      <c r="L11" s="101">
        <v>52</v>
      </c>
      <c r="M11" s="115" t="s">
        <v>296</v>
      </c>
    </row>
    <row r="12" spans="1:15" x14ac:dyDescent="0.45">
      <c r="A12" s="133" t="s">
        <v>322</v>
      </c>
      <c r="B12" s="80">
        <v>44313</v>
      </c>
      <c r="C12" s="58" t="s">
        <v>81</v>
      </c>
      <c r="D12" s="58"/>
      <c r="E12" s="58" t="s">
        <v>92</v>
      </c>
      <c r="F12" s="58"/>
      <c r="G12" s="79">
        <v>35</v>
      </c>
      <c r="H12" s="79" t="s">
        <v>335</v>
      </c>
      <c r="I12" s="79">
        <v>15</v>
      </c>
      <c r="J12" s="79" t="s">
        <v>335</v>
      </c>
      <c r="K12" s="102">
        <v>0.1</v>
      </c>
      <c r="L12" s="101">
        <v>42</v>
      </c>
      <c r="M12" s="115" t="s">
        <v>295</v>
      </c>
    </row>
    <row r="13" spans="1:15" x14ac:dyDescent="0.45">
      <c r="A13" s="133" t="s">
        <v>326</v>
      </c>
      <c r="B13" s="80">
        <v>44313</v>
      </c>
      <c r="C13" s="58" t="s">
        <v>82</v>
      </c>
      <c r="D13" s="58"/>
      <c r="E13" s="58" t="s">
        <v>94</v>
      </c>
      <c r="F13" s="58"/>
      <c r="G13" s="79">
        <v>25</v>
      </c>
      <c r="H13" s="79" t="s">
        <v>335</v>
      </c>
      <c r="I13" s="79">
        <v>15</v>
      </c>
      <c r="J13" s="79" t="s">
        <v>335</v>
      </c>
      <c r="K13" s="102">
        <v>0.1</v>
      </c>
      <c r="L13" s="101">
        <v>38</v>
      </c>
      <c r="M13" s="115" t="s">
        <v>295</v>
      </c>
    </row>
    <row r="14" spans="1:15" x14ac:dyDescent="0.45">
      <c r="A14" s="133" t="s">
        <v>322</v>
      </c>
      <c r="B14" s="80">
        <v>44313</v>
      </c>
      <c r="C14" s="58" t="s">
        <v>82</v>
      </c>
      <c r="D14" s="58" t="s">
        <v>85</v>
      </c>
      <c r="E14" s="58" t="s">
        <v>91</v>
      </c>
      <c r="F14" s="58" t="s">
        <v>98</v>
      </c>
      <c r="G14" s="79">
        <v>25</v>
      </c>
      <c r="H14" s="79">
        <v>30</v>
      </c>
      <c r="I14" s="79">
        <v>12</v>
      </c>
      <c r="J14" s="79">
        <v>7</v>
      </c>
      <c r="K14" s="102">
        <v>0.1</v>
      </c>
      <c r="L14" s="101">
        <v>61.2</v>
      </c>
      <c r="M14" s="115" t="s">
        <v>294</v>
      </c>
    </row>
    <row r="15" spans="1:15" x14ac:dyDescent="0.45">
      <c r="A15" s="133" t="s">
        <v>322</v>
      </c>
      <c r="B15" s="80">
        <v>44301</v>
      </c>
      <c r="C15" s="58" t="s">
        <v>80</v>
      </c>
      <c r="D15" s="58"/>
      <c r="E15" s="58" t="s">
        <v>334</v>
      </c>
      <c r="F15" s="58"/>
      <c r="G15" s="79">
        <v>15</v>
      </c>
      <c r="H15" s="79"/>
      <c r="I15" s="79">
        <v>10</v>
      </c>
      <c r="J15" s="79"/>
      <c r="K15" s="102"/>
      <c r="L15" s="101">
        <v>25</v>
      </c>
      <c r="M15" s="115" t="s">
        <v>296</v>
      </c>
    </row>
    <row r="16" spans="1:15" x14ac:dyDescent="0.45">
      <c r="A16" s="133" t="s">
        <v>322</v>
      </c>
      <c r="B16" s="80">
        <v>44287</v>
      </c>
      <c r="C16" s="58" t="s">
        <v>80</v>
      </c>
      <c r="D16" s="58"/>
      <c r="E16" s="58" t="s">
        <v>334</v>
      </c>
      <c r="F16" s="58"/>
      <c r="G16" s="79">
        <v>15</v>
      </c>
      <c r="H16" s="79"/>
      <c r="I16" s="79">
        <v>10</v>
      </c>
      <c r="J16" s="79"/>
      <c r="K16" s="102"/>
      <c r="L16" s="101">
        <v>25</v>
      </c>
      <c r="M16" s="115" t="s">
        <v>296</v>
      </c>
    </row>
    <row r="17" spans="1:13" x14ac:dyDescent="0.45">
      <c r="A17" s="133"/>
      <c r="B17" s="71"/>
      <c r="C17" s="58"/>
      <c r="D17" s="58"/>
      <c r="E17" s="58"/>
      <c r="F17" s="58"/>
      <c r="G17" s="71"/>
      <c r="H17" s="71"/>
      <c r="I17" s="71"/>
      <c r="J17" s="71"/>
      <c r="K17" s="102"/>
      <c r="L17" s="101"/>
      <c r="M17" s="115"/>
    </row>
    <row r="18" spans="1:13" x14ac:dyDescent="0.45">
      <c r="A18" s="133"/>
      <c r="B18" s="71"/>
      <c r="C18" s="58"/>
      <c r="D18" s="58"/>
      <c r="E18" s="58"/>
      <c r="F18" s="58"/>
      <c r="G18" s="71"/>
      <c r="H18" s="71"/>
      <c r="I18" s="71"/>
      <c r="J18" s="71"/>
      <c r="K18" s="102"/>
      <c r="L18" s="101"/>
      <c r="M18" s="115"/>
    </row>
    <row r="19" spans="1:13" x14ac:dyDescent="0.45">
      <c r="A19" s="134"/>
      <c r="B19" s="122"/>
      <c r="C19" s="41"/>
      <c r="D19" s="41"/>
      <c r="E19" s="41"/>
      <c r="F19" s="41"/>
      <c r="G19" s="122"/>
      <c r="H19" s="122"/>
      <c r="I19" s="122"/>
      <c r="J19" s="122"/>
      <c r="K19" s="135"/>
      <c r="L19" s="136"/>
      <c r="M19" s="120"/>
    </row>
  </sheetData>
  <mergeCells count="3">
    <mergeCell ref="A1:A3"/>
    <mergeCell ref="B1:C3"/>
    <mergeCell ref="G1:G3"/>
  </mergeCells>
  <pageMargins left="0.7" right="0.7" top="0.75" bottom="0.75" header="0.3" footer="0.3"/>
  <pageSetup orientation="portrait" r:id="rId1"/>
  <drawing r:id="rId2"/>
  <picture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30178-9A1E-4E70-A9BB-1E158FA06E0D}">
  <sheetPr codeName="Sheet13"/>
  <dimension ref="A1:F26"/>
  <sheetViews>
    <sheetView workbookViewId="0">
      <selection activeCell="B18" sqref="B18"/>
    </sheetView>
  </sheetViews>
  <sheetFormatPr defaultRowHeight="14.25" x14ac:dyDescent="0.45"/>
  <cols>
    <col min="1" max="3" width="27" customWidth="1"/>
    <col min="4" max="4" width="27.265625" customWidth="1"/>
  </cols>
  <sheetData>
    <row r="1" spans="1:6" x14ac:dyDescent="0.45">
      <c r="A1" s="174"/>
      <c r="B1" s="226" t="s">
        <v>114</v>
      </c>
      <c r="F1" s="174"/>
    </row>
    <row r="2" spans="1:6" ht="18" x14ac:dyDescent="0.55000000000000004">
      <c r="A2" s="174"/>
      <c r="B2" s="226"/>
      <c r="C2" s="2"/>
      <c r="F2" s="174"/>
    </row>
    <row r="3" spans="1:6" ht="14.65" thickBot="1" x14ac:dyDescent="0.5">
      <c r="A3" s="231"/>
      <c r="B3" s="232"/>
      <c r="F3" s="174"/>
    </row>
    <row r="4" spans="1:6" ht="28.9" thickBot="1" x14ac:dyDescent="0.5">
      <c r="A4" s="62" t="s">
        <v>103</v>
      </c>
      <c r="B4" s="104" t="s">
        <v>115</v>
      </c>
      <c r="C4" s="107" t="s">
        <v>116</v>
      </c>
      <c r="D4" s="107" t="s">
        <v>117</v>
      </c>
    </row>
    <row r="5" spans="1:6" x14ac:dyDescent="0.45">
      <c r="A5" s="65" t="s">
        <v>79</v>
      </c>
      <c r="B5" s="103"/>
      <c r="C5" s="58" t="s">
        <v>291</v>
      </c>
      <c r="D5" s="63">
        <f>COUNTIF(Transactions!M:M,"Jason Johnson")</f>
        <v>2</v>
      </c>
    </row>
    <row r="6" spans="1:6" x14ac:dyDescent="0.45">
      <c r="A6" s="58" t="s">
        <v>80</v>
      </c>
      <c r="B6" s="105">
        <f>COUNTIF(Transactions!C:C,"Basic Manicure")</f>
        <v>2</v>
      </c>
      <c r="C6" s="58" t="s">
        <v>292</v>
      </c>
      <c r="D6" s="63">
        <f>COUNTIF(Transactions!M:M,"Teresa Flores")</f>
        <v>0</v>
      </c>
    </row>
    <row r="7" spans="1:6" x14ac:dyDescent="0.45">
      <c r="A7" s="58" t="s">
        <v>81</v>
      </c>
      <c r="B7" s="105">
        <f>COUNTIF(Transactions!C:C,"Acrylic Full Set")</f>
        <v>2</v>
      </c>
      <c r="C7" s="58" t="s">
        <v>293</v>
      </c>
      <c r="D7" s="63">
        <f>COUNTIF(Transactions!M:M,"Samantha Rose")</f>
        <v>0</v>
      </c>
    </row>
    <row r="8" spans="1:6" x14ac:dyDescent="0.45">
      <c r="A8" s="58" t="s">
        <v>118</v>
      </c>
      <c r="B8" s="105">
        <f>COUNTIF(Transactions!C:C,"Acrylic Fill")</f>
        <v>5</v>
      </c>
      <c r="C8" s="58" t="s">
        <v>294</v>
      </c>
      <c r="D8" s="63">
        <f>COUNTIF(Transactions!M:M,"Trisha Jones")</f>
        <v>2</v>
      </c>
    </row>
    <row r="9" spans="1:6" x14ac:dyDescent="0.45">
      <c r="A9" s="77" t="s">
        <v>83</v>
      </c>
      <c r="B9" s="106"/>
      <c r="C9" s="58" t="s">
        <v>295</v>
      </c>
      <c r="D9" s="63">
        <f>COUNTIF(Transactions!M:M,"Jesse Lima")</f>
        <v>4</v>
      </c>
    </row>
    <row r="10" spans="1:6" x14ac:dyDescent="0.45">
      <c r="A10" s="58" t="s">
        <v>84</v>
      </c>
      <c r="B10" s="63">
        <f>COUNTIF(Transactions!D12:D16,"Basic Pedicure")</f>
        <v>0</v>
      </c>
      <c r="C10" s="58" t="s">
        <v>296</v>
      </c>
      <c r="D10" s="63">
        <f>COUNTIF(Transactions!M:M,"Sarah Ferra")</f>
        <v>4</v>
      </c>
    </row>
    <row r="11" spans="1:6" x14ac:dyDescent="0.45">
      <c r="A11" s="58" t="s">
        <v>85</v>
      </c>
      <c r="B11" s="63">
        <f>COUNTIF(Transactions!D12:D16,"Acrylic Overlay")</f>
        <v>1</v>
      </c>
    </row>
    <row r="12" spans="1:6" x14ac:dyDescent="0.45">
      <c r="A12" s="58" t="s">
        <v>86</v>
      </c>
      <c r="B12" s="63">
        <f>COUNTIF(Transactions!D12:D16,"Overlay Fill")</f>
        <v>0</v>
      </c>
    </row>
    <row r="13" spans="1:6" x14ac:dyDescent="0.45">
      <c r="A13" s="58" t="s">
        <v>87</v>
      </c>
      <c r="B13" s="63">
        <f>COUNTIF(Transactions!D12:D16,"Callus Removal")</f>
        <v>0</v>
      </c>
    </row>
    <row r="14" spans="1:6" x14ac:dyDescent="0.45">
      <c r="A14" s="65" t="s">
        <v>88</v>
      </c>
      <c r="B14" s="66"/>
    </row>
    <row r="15" spans="1:6" x14ac:dyDescent="0.45">
      <c r="A15" s="58" t="s">
        <v>89</v>
      </c>
      <c r="B15" s="63">
        <f>COUNTIF(Transactions!E12:E16,"Gel Polish")</f>
        <v>0</v>
      </c>
    </row>
    <row r="16" spans="1:6" x14ac:dyDescent="0.45">
      <c r="A16" s="58" t="s">
        <v>90</v>
      </c>
      <c r="B16" s="63">
        <f>COUNTIF(Transactions!E12:E16,"Paraffin Wax Treatment")</f>
        <v>0</v>
      </c>
    </row>
    <row r="17" spans="1:2" x14ac:dyDescent="0.45">
      <c r="A17" s="58" t="s">
        <v>91</v>
      </c>
      <c r="B17" s="63">
        <f>COUNTIF(Transactions!E12:E16,"Nail Repair")</f>
        <v>1</v>
      </c>
    </row>
    <row r="18" spans="1:2" x14ac:dyDescent="0.45">
      <c r="A18" s="58" t="s">
        <v>92</v>
      </c>
      <c r="B18" s="63">
        <f>COUNTIF(Transactions!E12:E16,"Nail Art")</f>
        <v>1</v>
      </c>
    </row>
    <row r="19" spans="1:2" x14ac:dyDescent="0.45">
      <c r="A19" s="58" t="s">
        <v>93</v>
      </c>
      <c r="B19" s="63">
        <f>COUNTIF(Transactions!E12:E16,"French Tip")</f>
        <v>0</v>
      </c>
    </row>
    <row r="20" spans="1:2" x14ac:dyDescent="0.45">
      <c r="A20" s="58" t="s">
        <v>94</v>
      </c>
      <c r="B20" s="63">
        <f>COUNTIF(Transactions!E12:E16,"Hand Massage")</f>
        <v>1</v>
      </c>
    </row>
    <row r="21" spans="1:2" x14ac:dyDescent="0.45">
      <c r="A21" s="58" t="s">
        <v>95</v>
      </c>
      <c r="B21" s="63">
        <f>COUNTIF(Transactions!E12:E16,"Foot Massage")</f>
        <v>0</v>
      </c>
    </row>
    <row r="22" spans="1:2" x14ac:dyDescent="0.45">
      <c r="A22" s="58" t="s">
        <v>97</v>
      </c>
      <c r="B22" s="63">
        <f>COUNTIF(Transactions!E12:E16,"Acrylic Removal")</f>
        <v>0</v>
      </c>
    </row>
    <row r="23" spans="1:2" x14ac:dyDescent="0.45">
      <c r="A23" s="58" t="s">
        <v>98</v>
      </c>
      <c r="B23" s="64">
        <f>COUNTIF(Transactions!E12:E16,"Gel Removal")</f>
        <v>0</v>
      </c>
    </row>
    <row r="24" spans="1:2" x14ac:dyDescent="0.45">
      <c r="B24" s="18"/>
    </row>
    <row r="25" spans="1:2" x14ac:dyDescent="0.45">
      <c r="B25" s="18"/>
    </row>
    <row r="26" spans="1:2" x14ac:dyDescent="0.45">
      <c r="B26" s="18"/>
    </row>
  </sheetData>
  <mergeCells count="3">
    <mergeCell ref="A1:A3"/>
    <mergeCell ref="B1:B3"/>
    <mergeCell ref="F1:F3"/>
  </mergeCells>
  <pageMargins left="0.7" right="0.7" top="0.75" bottom="0.75" header="0.3" footer="0.3"/>
  <pageSetup orientation="portrait" r:id="rId1"/>
  <drawing r:id="rId2"/>
  <picture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7EBC6-590C-42F6-B88D-FCBA904E8356}">
  <sheetPr codeName="Sheet5"/>
  <dimension ref="A1:I47"/>
  <sheetViews>
    <sheetView zoomScale="76" zoomScaleNormal="80" workbookViewId="0">
      <selection activeCell="I5" sqref="I5"/>
    </sheetView>
  </sheetViews>
  <sheetFormatPr defaultColWidth="8.86328125" defaultRowHeight="14.25" x14ac:dyDescent="0.45"/>
  <cols>
    <col min="1" max="1" width="23" customWidth="1"/>
    <col min="2" max="2" width="24" customWidth="1"/>
    <col min="3" max="3" width="25.59765625" bestFit="1" customWidth="1"/>
    <col min="4" max="4" width="7.86328125" hidden="1" customWidth="1"/>
    <col min="5" max="5" width="26.86328125" customWidth="1"/>
    <col min="6" max="6" width="16" customWidth="1"/>
    <col min="7" max="7" width="23.59765625" hidden="1" customWidth="1"/>
    <col min="8" max="9" width="18.265625" customWidth="1"/>
  </cols>
  <sheetData>
    <row r="1" spans="1:9" x14ac:dyDescent="0.45">
      <c r="B1" s="226" t="s">
        <v>119</v>
      </c>
      <c r="C1" s="226"/>
      <c r="F1" s="174"/>
    </row>
    <row r="2" spans="1:9" x14ac:dyDescent="0.45">
      <c r="B2" s="226"/>
      <c r="C2" s="233"/>
      <c r="F2" s="174"/>
    </row>
    <row r="3" spans="1:9" x14ac:dyDescent="0.45">
      <c r="B3" s="226"/>
      <c r="C3" s="233"/>
      <c r="F3" s="225"/>
    </row>
    <row r="4" spans="1:9" x14ac:dyDescent="0.45">
      <c r="A4" s="144" t="s">
        <v>172</v>
      </c>
      <c r="B4" s="140" t="s">
        <v>306</v>
      </c>
      <c r="C4" s="145" t="s">
        <v>120</v>
      </c>
      <c r="D4" s="145" t="s">
        <v>121</v>
      </c>
      <c r="E4" s="140" t="s">
        <v>122</v>
      </c>
      <c r="F4" s="140" t="s">
        <v>123</v>
      </c>
      <c r="G4" s="140" t="s">
        <v>355</v>
      </c>
      <c r="H4" s="140" t="s">
        <v>78</v>
      </c>
      <c r="I4" s="140" t="s">
        <v>124</v>
      </c>
    </row>
    <row r="5" spans="1:9" x14ac:dyDescent="0.45">
      <c r="A5" s="137">
        <v>129310</v>
      </c>
      <c r="B5" s="124" t="s">
        <v>125</v>
      </c>
      <c r="C5" s="125" t="s">
        <v>126</v>
      </c>
      <c r="D5" s="125">
        <v>512</v>
      </c>
      <c r="E5" s="125">
        <f>64*6</f>
        <v>384</v>
      </c>
      <c r="F5" s="123" t="str">
        <f>E5-(0.3*(SUM(Analytics!B5:B24)))&amp;" oz."</f>
        <v>380.1 oz.</v>
      </c>
      <c r="G5" s="123">
        <f>E5-(0.3*(SUM(Analytics!B5:B24)))</f>
        <v>380.1</v>
      </c>
      <c r="H5" s="126" t="s">
        <v>127</v>
      </c>
      <c r="I5" s="125" t="str">
        <f t="shared" ref="I5:I22" si="0">IF(G5&gt;=(0.5*D5),"Normal Stock",IF(G5&gt;=1,"Restock Now!","No Stock | REORDER"))</f>
        <v>Normal Stock</v>
      </c>
    </row>
    <row r="6" spans="1:9" x14ac:dyDescent="0.45">
      <c r="A6" s="137">
        <v>436752</v>
      </c>
      <c r="B6" s="124" t="s">
        <v>131</v>
      </c>
      <c r="C6" s="125" t="s">
        <v>132</v>
      </c>
      <c r="D6" s="125">
        <v>100</v>
      </c>
      <c r="E6" s="125">
        <v>89</v>
      </c>
      <c r="F6" s="125">
        <f>E6-Analytics!B6-Analytics!B7-Analytics!B8-Analytics!B10-Analytics!B11-Analytics!B12</f>
        <v>79</v>
      </c>
      <c r="G6" s="125">
        <f>E6-Analytics!B6-Analytics!B7-Analytics!B8-Analytics!B10-Analytics!B11-Analytics!B12</f>
        <v>79</v>
      </c>
      <c r="H6" s="127" t="s">
        <v>133</v>
      </c>
      <c r="I6" s="125" t="str">
        <f t="shared" si="0"/>
        <v>Normal Stock</v>
      </c>
    </row>
    <row r="7" spans="1:9" x14ac:dyDescent="0.45">
      <c r="A7" s="137">
        <v>567794</v>
      </c>
      <c r="B7" s="124" t="s">
        <v>134</v>
      </c>
      <c r="C7" s="125" t="s">
        <v>135</v>
      </c>
      <c r="D7" s="125">
        <v>64</v>
      </c>
      <c r="E7" s="125">
        <v>64</v>
      </c>
      <c r="F7" s="123" t="str">
        <f>E7-(0.3*Analytics!B7)-(0.3*Analytics!B8)-(0.3*Analytics!B11)-(0.3*Analytics!B12)&amp;" oz."</f>
        <v>61.6 oz.</v>
      </c>
      <c r="G7" s="123">
        <f>E7-(0.3*Analytics!B7)-(0.3*Analytics!B8)-(0.3*Analytics!B11)-(0.3*Analytics!B12)</f>
        <v>61.6</v>
      </c>
      <c r="H7" s="126" t="s">
        <v>136</v>
      </c>
      <c r="I7" s="125" t="str">
        <f t="shared" si="0"/>
        <v>Normal Stock</v>
      </c>
    </row>
    <row r="8" spans="1:9" x14ac:dyDescent="0.45">
      <c r="A8" s="137">
        <v>452905</v>
      </c>
      <c r="B8" s="124" t="s">
        <v>137</v>
      </c>
      <c r="C8" s="125" t="s">
        <v>138</v>
      </c>
      <c r="D8" s="125">
        <v>96</v>
      </c>
      <c r="E8" s="125">
        <f>12*5</f>
        <v>60</v>
      </c>
      <c r="F8" s="123" t="e">
        <f>E8-(0.5*Analytics!B8)-(0.5*Analytics!#REF!)-(0.5*Analytics!B12)-(0.5*Analytics!B13)&amp;" oz."</f>
        <v>#REF!</v>
      </c>
      <c r="G8" s="123" t="e">
        <f>E8-(0.5*Analytics!B8)-(0.5*Analytics!#REF!)-(0.5*Analytics!B12)-(0.5*Analytics!B13)</f>
        <v>#REF!</v>
      </c>
      <c r="H8" s="126" t="s">
        <v>139</v>
      </c>
      <c r="I8" s="125" t="e">
        <f t="shared" si="0"/>
        <v>#REF!</v>
      </c>
    </row>
    <row r="9" spans="1:9" x14ac:dyDescent="0.45">
      <c r="A9" s="137">
        <v>903468</v>
      </c>
      <c r="B9" s="124" t="s">
        <v>143</v>
      </c>
      <c r="C9" s="125" t="s">
        <v>141</v>
      </c>
      <c r="D9" s="125">
        <v>100</v>
      </c>
      <c r="E9" s="125">
        <f>10*8</f>
        <v>80</v>
      </c>
      <c r="F9" s="123" t="e">
        <f>E9-((Analytics!B7*0.4)+(Analytics!B8*0.4)+(Analytics!#REF!*0.4)+(Analytics!B11*0.4)+(Analytics!B12*0.4)+(Analytics!B13*0.4))&amp;" ml."</f>
        <v>#REF!</v>
      </c>
      <c r="G9" s="123" t="e">
        <f>E9-((Analytics!B7*0.4)+(Analytics!B8*0.4)+(Analytics!#REF!*0.4)+(Analytics!B11*0.4)+(Analytics!B12*0.4)+(Analytics!B13*0.4))</f>
        <v>#REF!</v>
      </c>
      <c r="H9" s="126" t="s">
        <v>142</v>
      </c>
      <c r="I9" s="125" t="e">
        <f t="shared" si="0"/>
        <v>#REF!</v>
      </c>
    </row>
    <row r="10" spans="1:9" x14ac:dyDescent="0.45">
      <c r="A10" s="137">
        <v>201475</v>
      </c>
      <c r="B10" s="124" t="s">
        <v>144</v>
      </c>
      <c r="C10" s="125" t="s">
        <v>141</v>
      </c>
      <c r="D10" s="125">
        <v>100</v>
      </c>
      <c r="E10" s="125">
        <f>10*7</f>
        <v>70</v>
      </c>
      <c r="F10" s="123" t="str">
        <f>E10-((Analytics!B15*0.5))&amp;" ml."</f>
        <v>70 ml.</v>
      </c>
      <c r="G10" s="123">
        <f>E10-((Analytics!B15*0.5))</f>
        <v>70</v>
      </c>
      <c r="H10" s="126" t="s">
        <v>142</v>
      </c>
      <c r="I10" s="125" t="str">
        <f t="shared" si="0"/>
        <v>Normal Stock</v>
      </c>
    </row>
    <row r="11" spans="1:9" x14ac:dyDescent="0.45">
      <c r="A11" s="137">
        <v>735690</v>
      </c>
      <c r="B11" s="124" t="s">
        <v>145</v>
      </c>
      <c r="C11" s="125" t="s">
        <v>146</v>
      </c>
      <c r="D11" s="125">
        <v>512</v>
      </c>
      <c r="E11" s="125">
        <f>3*128</f>
        <v>384</v>
      </c>
      <c r="F11" s="123" t="str">
        <f>E11-((Analytics!B10*1))&amp; " oz."</f>
        <v>384 oz.</v>
      </c>
      <c r="G11" s="123">
        <f>E11-((Analytics!B10*1))</f>
        <v>384</v>
      </c>
      <c r="H11" s="126" t="s">
        <v>147</v>
      </c>
      <c r="I11" s="125" t="str">
        <f t="shared" si="0"/>
        <v>Normal Stock</v>
      </c>
    </row>
    <row r="12" spans="1:9" x14ac:dyDescent="0.45">
      <c r="A12" s="137">
        <v>425823</v>
      </c>
      <c r="B12" s="124" t="s">
        <v>148</v>
      </c>
      <c r="C12" s="125" t="s">
        <v>146</v>
      </c>
      <c r="D12" s="125">
        <v>512</v>
      </c>
      <c r="E12" s="125">
        <v>512</v>
      </c>
      <c r="F12" s="123" t="str">
        <f>E12-((Analytics!B20*0.5)+(Analytics!B21*0.5))&amp;" oz."</f>
        <v>511.5 oz.</v>
      </c>
      <c r="G12" s="123">
        <f>E12-((Analytics!B20*0.5)+(Analytics!B21*0.5))</f>
        <v>511.5</v>
      </c>
      <c r="H12" s="126" t="s">
        <v>149</v>
      </c>
      <c r="I12" s="125" t="str">
        <f t="shared" si="0"/>
        <v>Normal Stock</v>
      </c>
    </row>
    <row r="13" spans="1:9" x14ac:dyDescent="0.45">
      <c r="A13" s="137">
        <v>468204</v>
      </c>
      <c r="B13" s="124" t="s">
        <v>150</v>
      </c>
      <c r="C13" s="125" t="s">
        <v>151</v>
      </c>
      <c r="D13" s="125">
        <v>96</v>
      </c>
      <c r="E13" s="125">
        <f>5*16</f>
        <v>80</v>
      </c>
      <c r="F13" s="123" t="str">
        <f>E13-((0.1*Analytics!B20)+(0.1*Analytics!B21))&amp;" oz."</f>
        <v>79.9 oz.</v>
      </c>
      <c r="G13" s="123">
        <f>E13-((0.1*Analytics!B20)+(0.1*Analytics!B21))</f>
        <v>79.900000000000006</v>
      </c>
      <c r="H13" s="126" t="s">
        <v>152</v>
      </c>
      <c r="I13" s="125" t="str">
        <f t="shared" si="0"/>
        <v>Normal Stock</v>
      </c>
    </row>
    <row r="14" spans="1:9" x14ac:dyDescent="0.45">
      <c r="A14" s="137">
        <v>351854</v>
      </c>
      <c r="B14" s="124" t="s">
        <v>153</v>
      </c>
      <c r="C14" s="125" t="s">
        <v>154</v>
      </c>
      <c r="D14" s="125">
        <v>6</v>
      </c>
      <c r="E14" s="125">
        <f>5*1</f>
        <v>5</v>
      </c>
      <c r="F14" s="123" t="str">
        <f>E14-(0.5*Analytics!B16)&amp;" lbs"</f>
        <v>5 lbs</v>
      </c>
      <c r="G14" s="123">
        <f>E14-(0.5*Analytics!B16)</f>
        <v>5</v>
      </c>
      <c r="H14" s="126" t="s">
        <v>155</v>
      </c>
      <c r="I14" s="125" t="str">
        <f t="shared" si="0"/>
        <v>Normal Stock</v>
      </c>
    </row>
    <row r="15" spans="1:9" x14ac:dyDescent="0.45">
      <c r="A15" s="137">
        <v>143784</v>
      </c>
      <c r="B15" s="124" t="s">
        <v>156</v>
      </c>
      <c r="C15" s="125" t="s">
        <v>157</v>
      </c>
      <c r="D15" s="125">
        <v>60</v>
      </c>
      <c r="E15" s="125">
        <f>4*12</f>
        <v>48</v>
      </c>
      <c r="F15" s="123" t="str">
        <f>E15-(Analytics!B17*0.5)&amp; " ml."</f>
        <v>47.5 ml.</v>
      </c>
      <c r="G15" s="123">
        <f>E15-(Analytics!B17*0.5)</f>
        <v>47.5</v>
      </c>
      <c r="H15" s="126" t="s">
        <v>158</v>
      </c>
      <c r="I15" s="125" t="str">
        <f t="shared" si="0"/>
        <v>Normal Stock</v>
      </c>
    </row>
    <row r="16" spans="1:9" x14ac:dyDescent="0.45">
      <c r="A16" s="137">
        <v>234974</v>
      </c>
      <c r="B16" s="124" t="s">
        <v>159</v>
      </c>
      <c r="C16" s="124" t="s">
        <v>160</v>
      </c>
      <c r="D16" s="123">
        <v>5</v>
      </c>
      <c r="E16" s="125">
        <v>5</v>
      </c>
      <c r="F16" s="123" t="str">
        <f>E16-(Analytics!B18*0.1)&amp; " oz."</f>
        <v>4.9 oz.</v>
      </c>
      <c r="G16" s="123">
        <f>E16-(Analytics!B18*0.1)</f>
        <v>4.9000000000000004</v>
      </c>
      <c r="H16" s="126" t="s">
        <v>161</v>
      </c>
      <c r="I16" s="125" t="str">
        <f t="shared" si="0"/>
        <v>Normal Stock</v>
      </c>
    </row>
    <row r="17" spans="1:9" x14ac:dyDescent="0.45">
      <c r="A17" s="137">
        <v>139075</v>
      </c>
      <c r="B17" s="124" t="s">
        <v>162</v>
      </c>
      <c r="C17" s="125" t="s">
        <v>163</v>
      </c>
      <c r="D17" s="125">
        <v>384</v>
      </c>
      <c r="E17" s="125">
        <v>384</v>
      </c>
      <c r="F17" s="123" t="str">
        <f>E17-((Analytics!B22*2)+(Analytics!B23*2)+(Analytics!B6*0.3)+(Analytics!B10*0.3))&amp; " oz."</f>
        <v>383.4 oz.</v>
      </c>
      <c r="G17" s="123">
        <f>E17-((Analytics!B22*2)+(Analytics!B23*2)+(Analytics!B6*0.3)+(Analytics!B10*0.3))</f>
        <v>383.4</v>
      </c>
      <c r="H17" s="126" t="s">
        <v>164</v>
      </c>
      <c r="I17" s="125" t="str">
        <f t="shared" si="0"/>
        <v>Normal Stock</v>
      </c>
    </row>
    <row r="18" spans="1:9" x14ac:dyDescent="0.45">
      <c r="A18" s="137">
        <v>111367</v>
      </c>
      <c r="B18" s="124" t="s">
        <v>165</v>
      </c>
      <c r="C18" s="125" t="s">
        <v>166</v>
      </c>
      <c r="D18" s="125">
        <v>10</v>
      </c>
      <c r="E18" s="125">
        <f>9</f>
        <v>9</v>
      </c>
      <c r="F18" s="123" t="str">
        <f>E18-((Analytics!B6*0.1)+(Analytics!B7*0.1)+(Analytics!B8*0.1)+(Analytics!B10*0.1)+(Analytics!B11*0.1)+(Analytics!B12*0.1))&amp; " oz."</f>
        <v>8 oz.</v>
      </c>
      <c r="G18" s="123">
        <f>E18-((Analytics!B6*0.1)+(Analytics!B7*0.1)+(Analytics!B8*0.1)+(Analytics!B10*0.1)+(Analytics!B11*0.1)+(Analytics!B12*0.1))</f>
        <v>8</v>
      </c>
      <c r="H18" s="126" t="s">
        <v>167</v>
      </c>
      <c r="I18" s="125" t="str">
        <f t="shared" si="0"/>
        <v>Normal Stock</v>
      </c>
    </row>
    <row r="19" spans="1:9" x14ac:dyDescent="0.45">
      <c r="A19" s="137">
        <v>467802</v>
      </c>
      <c r="B19" s="124" t="s">
        <v>168</v>
      </c>
      <c r="C19" s="125" t="s">
        <v>169</v>
      </c>
      <c r="D19" s="125">
        <v>5000</v>
      </c>
      <c r="E19" s="125">
        <f>3210</f>
        <v>3210</v>
      </c>
      <c r="F19" s="123" t="str">
        <f>E19-(Analytics!B7*10)&amp; " nails tips"</f>
        <v>3190 nails tips</v>
      </c>
      <c r="G19" s="123">
        <f>E19-(Analytics!B7*10)</f>
        <v>3190</v>
      </c>
      <c r="H19" s="126" t="s">
        <v>170</v>
      </c>
      <c r="I19" s="125" t="str">
        <f t="shared" si="0"/>
        <v>Normal Stock</v>
      </c>
    </row>
    <row r="20" spans="1:9" x14ac:dyDescent="0.45">
      <c r="A20" s="137">
        <v>463479</v>
      </c>
      <c r="B20" s="124" t="s">
        <v>171</v>
      </c>
      <c r="C20" s="125" t="s">
        <v>132</v>
      </c>
      <c r="D20" s="125">
        <v>100</v>
      </c>
      <c r="E20" s="125">
        <v>90</v>
      </c>
      <c r="F20" s="125">
        <f>E20-((1*Analytics!B10)+(Analytics!B11*1)+(Analytics!B12*1)+(Analytics!B13*1))</f>
        <v>89</v>
      </c>
      <c r="G20" s="125">
        <f>E20-((1*Analytics!B10)+(Analytics!B11*1)+(Analytics!B12*1)+(Analytics!B13*1))</f>
        <v>89</v>
      </c>
      <c r="H20" s="126" t="s">
        <v>133</v>
      </c>
      <c r="I20" s="125" t="str">
        <f t="shared" si="0"/>
        <v>Normal Stock</v>
      </c>
    </row>
    <row r="21" spans="1:9" x14ac:dyDescent="0.45">
      <c r="A21" s="137">
        <v>427890</v>
      </c>
      <c r="B21" s="124" t="s">
        <v>128</v>
      </c>
      <c r="C21" s="125" t="s">
        <v>129</v>
      </c>
      <c r="D21" s="125">
        <v>192</v>
      </c>
      <c r="E21" s="125">
        <f>6*16</f>
        <v>96</v>
      </c>
      <c r="F21" s="123" t="str">
        <f>E21-(0.5*(SUM(Analytics!B6:B25)))&amp;" oz."</f>
        <v>89.5 oz.</v>
      </c>
      <c r="G21" s="123">
        <f>E21-(0.5*(SUM(Analytics!B6:B25)))</f>
        <v>89.5</v>
      </c>
      <c r="H21" s="126" t="s">
        <v>130</v>
      </c>
      <c r="I21" s="125" t="str">
        <f t="shared" si="0"/>
        <v>Restock Now!</v>
      </c>
    </row>
    <row r="22" spans="1:9" x14ac:dyDescent="0.45">
      <c r="A22" s="137">
        <v>146844</v>
      </c>
      <c r="B22" s="124" t="s">
        <v>140</v>
      </c>
      <c r="C22" s="125" t="s">
        <v>141</v>
      </c>
      <c r="D22" s="125">
        <v>100</v>
      </c>
      <c r="E22" s="125">
        <v>50</v>
      </c>
      <c r="F22" s="123" t="str">
        <f>E22-((Analytics!B6*0.4)+(Analytics!B7*0.4)+(Analytics!B8*0.4)+(Analytics!B10*0.4)+(Analytics!B11*0.4)+(Analytics!B12*0.4))&amp;" ml."</f>
        <v>46 ml.</v>
      </c>
      <c r="G22" s="123">
        <f>E22-((Analytics!B6*0.4)+(Analytics!B7*0.4)+(Analytics!B8*0.4)+(Analytics!B10*0.4)+(Analytics!B11*0.4)+(Analytics!B12*0.4))</f>
        <v>46</v>
      </c>
      <c r="H22" s="126" t="s">
        <v>142</v>
      </c>
      <c r="I22" s="125" t="str">
        <f t="shared" si="0"/>
        <v>Restock Now!</v>
      </c>
    </row>
    <row r="27" spans="1:9" ht="14.65" thickBot="1" x14ac:dyDescent="0.5"/>
    <row r="28" spans="1:9" x14ac:dyDescent="0.45">
      <c r="E28" s="83" t="s">
        <v>310</v>
      </c>
      <c r="F28" s="84" t="s">
        <v>312</v>
      </c>
      <c r="G28" s="85" t="s">
        <v>313</v>
      </c>
    </row>
    <row r="29" spans="1:9" x14ac:dyDescent="0.45">
      <c r="E29" s="86" t="s">
        <v>162</v>
      </c>
      <c r="F29" s="87">
        <v>384</v>
      </c>
      <c r="G29" s="88">
        <v>383.4</v>
      </c>
    </row>
    <row r="30" spans="1:9" x14ac:dyDescent="0.45">
      <c r="E30" s="86" t="s">
        <v>137</v>
      </c>
      <c r="F30" s="87">
        <v>96</v>
      </c>
      <c r="G30" s="88">
        <v>60</v>
      </c>
    </row>
    <row r="31" spans="1:9" x14ac:dyDescent="0.45">
      <c r="E31" s="86" t="s">
        <v>168</v>
      </c>
      <c r="F31" s="87">
        <v>5000</v>
      </c>
      <c r="G31" s="88">
        <v>3210</v>
      </c>
    </row>
    <row r="32" spans="1:9" x14ac:dyDescent="0.45">
      <c r="E32" s="86" t="s">
        <v>134</v>
      </c>
      <c r="F32" s="87">
        <v>64</v>
      </c>
      <c r="G32" s="88">
        <v>64</v>
      </c>
    </row>
    <row r="33" spans="5:7" x14ac:dyDescent="0.45">
      <c r="E33" s="86" t="s">
        <v>140</v>
      </c>
      <c r="F33" s="87">
        <v>100</v>
      </c>
      <c r="G33" s="88">
        <v>49.2</v>
      </c>
    </row>
    <row r="34" spans="5:7" x14ac:dyDescent="0.45">
      <c r="E34" s="86" t="s">
        <v>145</v>
      </c>
      <c r="F34" s="87">
        <v>512</v>
      </c>
      <c r="G34" s="88">
        <v>384</v>
      </c>
    </row>
    <row r="35" spans="5:7" x14ac:dyDescent="0.45">
      <c r="E35" s="86" t="s">
        <v>148</v>
      </c>
      <c r="F35" s="87">
        <v>512</v>
      </c>
      <c r="G35" s="88">
        <v>512</v>
      </c>
    </row>
    <row r="36" spans="5:7" x14ac:dyDescent="0.45">
      <c r="E36" s="86" t="s">
        <v>150</v>
      </c>
      <c r="F36" s="87">
        <v>96</v>
      </c>
      <c r="G36" s="88">
        <v>80</v>
      </c>
    </row>
    <row r="37" spans="5:7" x14ac:dyDescent="0.45">
      <c r="E37" s="86" t="s">
        <v>165</v>
      </c>
      <c r="F37" s="87">
        <v>10</v>
      </c>
      <c r="G37" s="88">
        <v>8.8000000000000007</v>
      </c>
    </row>
    <row r="38" spans="5:7" x14ac:dyDescent="0.45">
      <c r="E38" s="86" t="s">
        <v>171</v>
      </c>
      <c r="F38" s="87">
        <v>100</v>
      </c>
      <c r="G38" s="88">
        <v>0</v>
      </c>
    </row>
    <row r="39" spans="5:7" x14ac:dyDescent="0.45">
      <c r="E39" s="86" t="s">
        <v>144</v>
      </c>
      <c r="F39" s="87">
        <v>100</v>
      </c>
      <c r="G39" s="88">
        <v>69</v>
      </c>
    </row>
    <row r="40" spans="5:7" x14ac:dyDescent="0.45">
      <c r="E40" s="86" t="s">
        <v>125</v>
      </c>
      <c r="F40" s="87">
        <v>512</v>
      </c>
      <c r="G40" s="88">
        <v>382.8</v>
      </c>
    </row>
    <row r="41" spans="5:7" x14ac:dyDescent="0.45">
      <c r="E41" s="86" t="s">
        <v>159</v>
      </c>
      <c r="F41" s="87">
        <v>5</v>
      </c>
      <c r="G41" s="88">
        <v>5</v>
      </c>
    </row>
    <row r="42" spans="5:7" x14ac:dyDescent="0.45">
      <c r="E42" s="86" t="s">
        <v>131</v>
      </c>
      <c r="F42" s="87">
        <v>100</v>
      </c>
      <c r="G42" s="88">
        <v>87</v>
      </c>
    </row>
    <row r="43" spans="5:7" x14ac:dyDescent="0.45">
      <c r="E43" s="86" t="s">
        <v>156</v>
      </c>
      <c r="F43" s="87">
        <v>60</v>
      </c>
      <c r="G43" s="88">
        <v>48</v>
      </c>
    </row>
    <row r="44" spans="5:7" x14ac:dyDescent="0.45">
      <c r="E44" s="86" t="s">
        <v>153</v>
      </c>
      <c r="F44" s="87">
        <v>6</v>
      </c>
      <c r="G44" s="88">
        <v>5</v>
      </c>
    </row>
    <row r="45" spans="5:7" x14ac:dyDescent="0.45">
      <c r="E45" s="86" t="s">
        <v>128</v>
      </c>
      <c r="F45" s="87">
        <v>192</v>
      </c>
      <c r="G45" s="88">
        <v>94</v>
      </c>
    </row>
    <row r="46" spans="5:7" x14ac:dyDescent="0.45">
      <c r="E46" s="86" t="s">
        <v>143</v>
      </c>
      <c r="F46" s="87">
        <v>100</v>
      </c>
      <c r="G46" s="88">
        <v>80</v>
      </c>
    </row>
    <row r="47" spans="5:7" ht="14.65" thickBot="1" x14ac:dyDescent="0.5">
      <c r="E47" s="89" t="s">
        <v>311</v>
      </c>
      <c r="F47" s="90">
        <v>7949</v>
      </c>
      <c r="G47" s="91">
        <v>5522.2000000000007</v>
      </c>
    </row>
  </sheetData>
  <sortState xmlns:xlrd2="http://schemas.microsoft.com/office/spreadsheetml/2017/richdata2" ref="A5:I22">
    <sortCondition sortBy="fontColor" ref="I5:I22" dxfId="66"/>
  </sortState>
  <mergeCells count="3">
    <mergeCell ref="C1:C3"/>
    <mergeCell ref="B1:B3"/>
    <mergeCell ref="F1:F3"/>
  </mergeCells>
  <conditionalFormatting sqref="I4:I22">
    <cfRule type="containsText" dxfId="1" priority="1" operator="containsText" text="No Stock | REORDER">
      <formula>NOT(ISERROR(SEARCH("No Stock | REORDER",I4)))</formula>
    </cfRule>
    <cfRule type="containsText" dxfId="0" priority="2" operator="containsText" text="Restock Now!">
      <formula>NOT(ISERROR(SEARCH("Restock Now!",I4)))</formula>
    </cfRule>
  </conditionalFormatting>
  <conditionalFormatting sqref="D4:D22">
    <cfRule type="colorScale" priority="28">
      <colorScale>
        <cfvo type="min"/>
        <cfvo type="percentile" val="50"/>
        <cfvo type="max"/>
        <color rgb="FFF8696B"/>
        <color rgb="FFFFEB84"/>
        <color rgb="FF63BE7B"/>
      </colorScale>
    </cfRule>
  </conditionalFormatting>
  <pageMargins left="0.7" right="0.7" top="0.75" bottom="0.75" header="0.3" footer="0.3"/>
  <pageSetup orientation="portrait" r:id="rId2"/>
  <drawing r:id="rId3"/>
  <legacyDrawing r:id="rId4"/>
  <picture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Stock">
                <anchor moveWithCells="1" sizeWithCells="1">
                  <from>
                    <xdr:col>10</xdr:col>
                    <xdr:colOff>19050</xdr:colOff>
                    <xdr:row>7</xdr:row>
                    <xdr:rowOff>19050</xdr:rowOff>
                  </from>
                  <to>
                    <xdr:col>14</xdr:col>
                    <xdr:colOff>38100</xdr:colOff>
                    <xdr:row>11</xdr:row>
                    <xdr:rowOff>190500</xdr:rowOff>
                  </to>
                </anchor>
              </controlPr>
            </control>
          </mc:Choice>
        </mc:AlternateContent>
      </controls>
    </mc:Choice>
  </mc:AlternateContent>
  <tableParts count="1">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DDFC6-64E0-4D5D-A00F-CDA674B89252}">
  <sheetPr codeName="Sheet9"/>
  <dimension ref="A1:P417"/>
  <sheetViews>
    <sheetView zoomScale="90" workbookViewId="0">
      <selection activeCell="E7" sqref="E7"/>
    </sheetView>
  </sheetViews>
  <sheetFormatPr defaultColWidth="8.86328125" defaultRowHeight="14.25" x14ac:dyDescent="0.45"/>
  <cols>
    <col min="1" max="1" width="23.73046875" customWidth="1"/>
    <col min="2" max="2" width="26.265625" customWidth="1"/>
    <col min="3" max="3" width="18.265625" style="4" customWidth="1"/>
    <col min="4" max="4" width="18.265625" style="6" customWidth="1"/>
    <col min="5" max="5" width="30.86328125" customWidth="1"/>
    <col min="6" max="6" width="10" style="14" customWidth="1"/>
    <col min="7" max="7" width="22" customWidth="1"/>
    <col min="8" max="8" width="10.86328125" customWidth="1"/>
    <col min="9" max="10" width="10.86328125" style="7" hidden="1" customWidth="1"/>
    <col min="13" max="13" width="28" customWidth="1"/>
  </cols>
  <sheetData>
    <row r="1" spans="1:16" x14ac:dyDescent="0.45">
      <c r="A1" s="174"/>
      <c r="B1" s="226" t="s">
        <v>353</v>
      </c>
      <c r="F1" s="234"/>
      <c r="I1"/>
    </row>
    <row r="2" spans="1:16" x14ac:dyDescent="0.45">
      <c r="A2" s="174"/>
      <c r="B2" s="226"/>
      <c r="C2" s="13"/>
      <c r="F2" s="234"/>
    </row>
    <row r="3" spans="1:16" ht="18.75" customHeight="1" x14ac:dyDescent="0.45">
      <c r="A3" s="174"/>
      <c r="B3" s="226"/>
      <c r="F3" s="235"/>
    </row>
    <row r="4" spans="1:16" x14ac:dyDescent="0.45">
      <c r="A4" s="141" t="s">
        <v>172</v>
      </c>
      <c r="B4" s="142" t="s">
        <v>173</v>
      </c>
      <c r="C4" s="146" t="s">
        <v>31</v>
      </c>
      <c r="D4" s="147" t="s">
        <v>174</v>
      </c>
      <c r="E4" s="142" t="s">
        <v>30</v>
      </c>
      <c r="F4" s="148" t="s">
        <v>175</v>
      </c>
      <c r="G4" s="143" t="s">
        <v>176</v>
      </c>
      <c r="H4" s="1"/>
      <c r="I4" s="8" t="s">
        <v>177</v>
      </c>
      <c r="J4" s="8" t="s">
        <v>178</v>
      </c>
      <c r="K4" s="1"/>
      <c r="L4" s="1"/>
      <c r="M4" s="1"/>
      <c r="N4" s="1"/>
      <c r="O4" s="1"/>
      <c r="P4" s="1"/>
    </row>
    <row r="5" spans="1:16" x14ac:dyDescent="0.45">
      <c r="A5" s="114">
        <v>129310</v>
      </c>
      <c r="B5" s="58" t="s">
        <v>179</v>
      </c>
      <c r="C5" s="109">
        <v>2348953204</v>
      </c>
      <c r="D5" s="110" t="s">
        <v>180</v>
      </c>
      <c r="E5" s="58" t="str">
        <f>CONCATENATE(LEFT(B5,SEARCH(" ",B5)-1), "_", MID(B5,SEARCH(" ", B5)+1,15), "@gmail.com")</f>
        <v>Kediyisi_Cosmetics@gmail.com</v>
      </c>
      <c r="F5" s="69" t="str">
        <f>VLOOKUP(VALUE(LEFT(C5,3)),I5:J417,2,FALSE)</f>
        <v>OH</v>
      </c>
      <c r="G5" s="115" t="s">
        <v>125</v>
      </c>
      <c r="I5" s="9" t="s">
        <v>181</v>
      </c>
      <c r="J5" s="10" t="s">
        <v>182</v>
      </c>
    </row>
    <row r="6" spans="1:16" x14ac:dyDescent="0.45">
      <c r="A6" s="114">
        <v>427890</v>
      </c>
      <c r="B6" s="58" t="s">
        <v>183</v>
      </c>
      <c r="C6" s="109">
        <v>3692047590</v>
      </c>
      <c r="D6" s="110" t="s">
        <v>184</v>
      </c>
      <c r="E6" s="58" t="str">
        <f t="shared" ref="E6:E22" si="0">CONCATENATE(LEFT(B6,SEARCH(" ",B6)-1), "_", MID(B6,SEARCH(" ", B6)+1,15), "@gmail.com")</f>
        <v>Shinghai_Stationary@gmail.com</v>
      </c>
      <c r="F6" s="69" t="str">
        <f t="shared" ref="F6:F22" si="1">VLOOKUP(VALUE(LEFT(C6,3)),I5:J418,2,FALSE)</f>
        <v>CA</v>
      </c>
      <c r="G6" s="115" t="s">
        <v>128</v>
      </c>
      <c r="I6" s="10">
        <v>201</v>
      </c>
      <c r="J6" s="10" t="s">
        <v>185</v>
      </c>
    </row>
    <row r="7" spans="1:16" x14ac:dyDescent="0.45">
      <c r="A7" s="114">
        <v>436752</v>
      </c>
      <c r="B7" s="58" t="s">
        <v>186</v>
      </c>
      <c r="C7" s="109">
        <v>2260348602</v>
      </c>
      <c r="D7" s="110" t="s">
        <v>187</v>
      </c>
      <c r="E7" s="58" t="str">
        <f>CONCATENATE(LEFT(B7,SEARCH(" ",B7)-1), "_", MID(B7,SEARCH(" ", B7)+1,15), "@gmail.com")</f>
        <v>Alibaba_Boutique@gmail.com</v>
      </c>
      <c r="F7" s="69" t="str">
        <f t="shared" si="1"/>
        <v>ON</v>
      </c>
      <c r="G7" s="115" t="s">
        <v>131</v>
      </c>
      <c r="I7" s="10">
        <v>202</v>
      </c>
      <c r="J7" s="10" t="s">
        <v>188</v>
      </c>
    </row>
    <row r="8" spans="1:16" x14ac:dyDescent="0.45">
      <c r="A8" s="114">
        <v>567794</v>
      </c>
      <c r="B8" s="58" t="s">
        <v>189</v>
      </c>
      <c r="C8" s="109">
        <v>5157831905</v>
      </c>
      <c r="D8" s="110" t="s">
        <v>190</v>
      </c>
      <c r="E8" s="58" t="str">
        <f t="shared" si="0"/>
        <v>Cintic_Inc@gmail.com</v>
      </c>
      <c r="F8" s="69" t="str">
        <f t="shared" si="1"/>
        <v>IA</v>
      </c>
      <c r="G8" s="115" t="s">
        <v>134</v>
      </c>
      <c r="I8" s="10">
        <v>203</v>
      </c>
      <c r="J8" s="10" t="s">
        <v>191</v>
      </c>
    </row>
    <row r="9" spans="1:16" x14ac:dyDescent="0.45">
      <c r="A9" s="114">
        <v>452905</v>
      </c>
      <c r="B9" s="58" t="s">
        <v>192</v>
      </c>
      <c r="C9" s="109">
        <v>4384057421</v>
      </c>
      <c r="D9" s="110" t="s">
        <v>193</v>
      </c>
      <c r="E9" s="58" t="str">
        <f t="shared" si="0"/>
        <v>Guangzhou_Factory@gmail.com</v>
      </c>
      <c r="F9" s="69" t="str">
        <f t="shared" si="1"/>
        <v>QC</v>
      </c>
      <c r="G9" s="115" t="s">
        <v>137</v>
      </c>
      <c r="I9" s="10">
        <v>204</v>
      </c>
      <c r="J9" s="10" t="s">
        <v>194</v>
      </c>
    </row>
    <row r="10" spans="1:16" x14ac:dyDescent="0.45">
      <c r="A10" s="114">
        <v>146844</v>
      </c>
      <c r="B10" s="58" t="s">
        <v>195</v>
      </c>
      <c r="C10" s="109">
        <v>2529401223</v>
      </c>
      <c r="D10" s="110" t="s">
        <v>196</v>
      </c>
      <c r="E10" s="58" t="str">
        <f t="shared" si="0"/>
        <v>Fujian_Essentials@gmail.com</v>
      </c>
      <c r="F10" s="69" t="str">
        <f t="shared" si="1"/>
        <v>NC</v>
      </c>
      <c r="G10" s="115" t="s">
        <v>140</v>
      </c>
      <c r="I10" s="10">
        <v>205</v>
      </c>
      <c r="J10" s="10" t="s">
        <v>197</v>
      </c>
    </row>
    <row r="11" spans="1:16" ht="23.25" x14ac:dyDescent="0.7">
      <c r="A11" s="114">
        <v>903468</v>
      </c>
      <c r="B11" s="58" t="s">
        <v>354</v>
      </c>
      <c r="C11" s="109">
        <v>2539230478</v>
      </c>
      <c r="D11" s="110" t="s">
        <v>198</v>
      </c>
      <c r="E11" s="58" t="str">
        <f t="shared" si="0"/>
        <v>Foshan_Import@gmail.com</v>
      </c>
      <c r="F11" s="69" t="str">
        <f t="shared" si="1"/>
        <v>WA</v>
      </c>
      <c r="G11" s="115" t="s">
        <v>143</v>
      </c>
      <c r="I11" s="10">
        <v>206</v>
      </c>
      <c r="J11" s="10" t="s">
        <v>199</v>
      </c>
      <c r="L11" s="12" t="s">
        <v>172</v>
      </c>
      <c r="M11" s="70">
        <v>111367</v>
      </c>
    </row>
    <row r="12" spans="1:16" ht="23.25" x14ac:dyDescent="0.7">
      <c r="A12" s="114">
        <v>201475</v>
      </c>
      <c r="B12" s="58" t="s">
        <v>200</v>
      </c>
      <c r="C12" s="109">
        <v>9792345013</v>
      </c>
      <c r="D12" s="110" t="s">
        <v>201</v>
      </c>
      <c r="E12" s="58" t="str">
        <f t="shared" si="0"/>
        <v>Zhejiang_Cosmetics@gmail.com</v>
      </c>
      <c r="F12" s="69" t="str">
        <f t="shared" si="1"/>
        <v>TX</v>
      </c>
      <c r="G12" s="115" t="s">
        <v>144</v>
      </c>
      <c r="I12" s="10">
        <v>207</v>
      </c>
      <c r="J12" s="10" t="s">
        <v>202</v>
      </c>
      <c r="L12" s="12" t="s">
        <v>173</v>
      </c>
      <c r="M12" s="158" t="str">
        <f>VLOOKUP(M11,A5:G22,2, FALSE)</f>
        <v>Gu Man</v>
      </c>
    </row>
    <row r="13" spans="1:16" ht="31.5" customHeight="1" x14ac:dyDescent="0.7">
      <c r="A13" s="114">
        <v>735690</v>
      </c>
      <c r="B13" s="58" t="s">
        <v>203</v>
      </c>
      <c r="C13" s="109">
        <v>4709463789</v>
      </c>
      <c r="D13" s="110" t="s">
        <v>204</v>
      </c>
      <c r="E13" s="58" t="str">
        <f t="shared" si="0"/>
        <v>Tianjin_Hodaf@gmail.com</v>
      </c>
      <c r="F13" s="69" t="str">
        <f t="shared" si="1"/>
        <v>GA</v>
      </c>
      <c r="G13" s="115" t="s">
        <v>145</v>
      </c>
      <c r="I13" s="10">
        <v>208</v>
      </c>
      <c r="J13" s="10" t="s">
        <v>205</v>
      </c>
      <c r="L13" s="12" t="s">
        <v>176</v>
      </c>
      <c r="M13" s="78" t="str">
        <f>VLOOKUP(M11,A4:G22, 7, FALSE)</f>
        <v>Cuticle Oil</v>
      </c>
    </row>
    <row r="14" spans="1:16" ht="23.25" x14ac:dyDescent="0.7">
      <c r="A14" s="114">
        <v>425823</v>
      </c>
      <c r="B14" s="58" t="s">
        <v>206</v>
      </c>
      <c r="C14" s="109">
        <v>5482645278</v>
      </c>
      <c r="D14" s="110" t="s">
        <v>207</v>
      </c>
      <c r="E14" s="58" t="str">
        <f t="shared" si="0"/>
        <v>Oyasy_Inc@gmail.com</v>
      </c>
      <c r="F14" s="69" t="str">
        <f t="shared" si="1"/>
        <v>ON</v>
      </c>
      <c r="G14" s="115" t="s">
        <v>148</v>
      </c>
      <c r="I14" s="10">
        <v>209</v>
      </c>
      <c r="J14" s="10" t="s">
        <v>208</v>
      </c>
      <c r="L14" s="12" t="s">
        <v>120</v>
      </c>
      <c r="M14" s="78" t="str">
        <f>VLOOKUP(M11,Inventory!A4:I22,3,FALSE)</f>
        <v>10 oz. | 10 1 oz. Bottles</v>
      </c>
    </row>
    <row r="15" spans="1:16" ht="23.25" x14ac:dyDescent="0.7">
      <c r="A15" s="114">
        <v>468204</v>
      </c>
      <c r="B15" s="58" t="s">
        <v>209</v>
      </c>
      <c r="C15" s="109">
        <v>6783457017</v>
      </c>
      <c r="D15" s="110" t="s">
        <v>210</v>
      </c>
      <c r="E15" s="58" t="str">
        <f t="shared" si="0"/>
        <v>Nails_Company@gmail.com</v>
      </c>
      <c r="F15" s="69" t="str">
        <f t="shared" si="1"/>
        <v>GA</v>
      </c>
      <c r="G15" s="115" t="s">
        <v>150</v>
      </c>
      <c r="I15" s="10">
        <v>210</v>
      </c>
      <c r="J15" s="10" t="s">
        <v>211</v>
      </c>
      <c r="L15" s="12" t="s">
        <v>124</v>
      </c>
      <c r="M15" s="78" t="str">
        <f>VLOOKUP(M11,Inventory!A4:I22,9,FALSE)</f>
        <v>Normal Stock</v>
      </c>
    </row>
    <row r="16" spans="1:16" x14ac:dyDescent="0.45">
      <c r="A16" s="114">
        <v>351854</v>
      </c>
      <c r="B16" s="58" t="s">
        <v>212</v>
      </c>
      <c r="C16" s="109">
        <v>3199412452</v>
      </c>
      <c r="D16" s="110" t="s">
        <v>213</v>
      </c>
      <c r="E16" s="58" t="str">
        <f t="shared" si="0"/>
        <v>Tianmi_Store@gmail.com</v>
      </c>
      <c r="F16" s="69" t="str">
        <f t="shared" si="1"/>
        <v>IA</v>
      </c>
      <c r="G16" s="115" t="s">
        <v>153</v>
      </c>
      <c r="I16" s="10">
        <v>211</v>
      </c>
      <c r="J16" s="11" t="s">
        <v>214</v>
      </c>
    </row>
    <row r="17" spans="1:10" x14ac:dyDescent="0.45">
      <c r="A17" s="114">
        <v>143784</v>
      </c>
      <c r="B17" s="58" t="s">
        <v>215</v>
      </c>
      <c r="C17" s="109">
        <v>6279204235</v>
      </c>
      <c r="D17" s="110" t="s">
        <v>216</v>
      </c>
      <c r="E17" s="58" t="str">
        <f t="shared" si="0"/>
        <v>Davi_Beauty Tools Fa@gmail.com</v>
      </c>
      <c r="F17" s="69" t="str">
        <f t="shared" si="1"/>
        <v>CA</v>
      </c>
      <c r="G17" s="115" t="s">
        <v>156</v>
      </c>
      <c r="I17" s="10">
        <v>212</v>
      </c>
      <c r="J17" s="10" t="s">
        <v>217</v>
      </c>
    </row>
    <row r="18" spans="1:10" x14ac:dyDescent="0.45">
      <c r="A18" s="114">
        <v>234974</v>
      </c>
      <c r="B18" s="58" t="s">
        <v>218</v>
      </c>
      <c r="C18" s="109">
        <v>9204213670</v>
      </c>
      <c r="D18" s="110" t="s">
        <v>219</v>
      </c>
      <c r="E18" s="58" t="str">
        <f t="shared" si="0"/>
        <v>FlorVida_Merchandise@gmail.com</v>
      </c>
      <c r="F18" s="69" t="str">
        <f t="shared" si="1"/>
        <v>WI</v>
      </c>
      <c r="G18" s="115" t="s">
        <v>159</v>
      </c>
      <c r="I18" s="10">
        <v>213</v>
      </c>
      <c r="J18" s="10" t="s">
        <v>208</v>
      </c>
    </row>
    <row r="19" spans="1:10" x14ac:dyDescent="0.45">
      <c r="A19" s="114">
        <v>139075</v>
      </c>
      <c r="B19" s="58" t="s">
        <v>220</v>
      </c>
      <c r="C19" s="109">
        <v>2365820473</v>
      </c>
      <c r="D19" s="110" t="s">
        <v>221</v>
      </c>
      <c r="E19" s="58" t="str">
        <f t="shared" si="0"/>
        <v>Nails_Super Store@gmail.com</v>
      </c>
      <c r="F19" s="69" t="str">
        <f t="shared" si="1"/>
        <v>BC</v>
      </c>
      <c r="G19" s="115" t="s">
        <v>162</v>
      </c>
      <c r="I19" s="10">
        <v>214</v>
      </c>
      <c r="J19" s="10" t="s">
        <v>211</v>
      </c>
    </row>
    <row r="20" spans="1:10" x14ac:dyDescent="0.45">
      <c r="A20" s="114">
        <v>111367</v>
      </c>
      <c r="B20" s="58" t="s">
        <v>222</v>
      </c>
      <c r="C20" s="109">
        <v>5038234835</v>
      </c>
      <c r="D20" s="110" t="s">
        <v>223</v>
      </c>
      <c r="E20" s="58" t="str">
        <f t="shared" si="0"/>
        <v>Gu_Man@gmail.com</v>
      </c>
      <c r="F20" s="69" t="str">
        <f t="shared" si="1"/>
        <v>OR</v>
      </c>
      <c r="G20" s="115" t="s">
        <v>165</v>
      </c>
      <c r="I20" s="10">
        <v>215</v>
      </c>
      <c r="J20" s="10" t="s">
        <v>224</v>
      </c>
    </row>
    <row r="21" spans="1:10" x14ac:dyDescent="0.45">
      <c r="A21" s="114">
        <v>467802</v>
      </c>
      <c r="B21" s="58" t="s">
        <v>225</v>
      </c>
      <c r="C21" s="109">
        <v>9375734932</v>
      </c>
      <c r="D21" s="110" t="s">
        <v>226</v>
      </c>
      <c r="E21" s="58" t="str">
        <f t="shared" si="0"/>
        <v>Astoos_Stationary@gmail.com</v>
      </c>
      <c r="F21" s="69" t="str">
        <f t="shared" si="1"/>
        <v>OH</v>
      </c>
      <c r="G21" s="115" t="s">
        <v>168</v>
      </c>
      <c r="I21" s="10">
        <v>216</v>
      </c>
      <c r="J21" s="10" t="s">
        <v>227</v>
      </c>
    </row>
    <row r="22" spans="1:10" x14ac:dyDescent="0.45">
      <c r="A22" s="116">
        <v>463479</v>
      </c>
      <c r="B22" s="41" t="s">
        <v>228</v>
      </c>
      <c r="C22" s="117">
        <v>9785283492</v>
      </c>
      <c r="D22" s="118" t="s">
        <v>229</v>
      </c>
      <c r="E22" s="41" t="str">
        <f t="shared" si="0"/>
        <v>Nail_Art Store@gmail.com</v>
      </c>
      <c r="F22" s="119" t="str">
        <f t="shared" si="1"/>
        <v>MA</v>
      </c>
      <c r="G22" s="120" t="s">
        <v>171</v>
      </c>
      <c r="I22" s="10">
        <v>217</v>
      </c>
      <c r="J22" s="10" t="s">
        <v>230</v>
      </c>
    </row>
    <row r="23" spans="1:10" x14ac:dyDescent="0.45">
      <c r="I23" s="10">
        <v>218</v>
      </c>
      <c r="J23" s="10" t="s">
        <v>231</v>
      </c>
    </row>
    <row r="24" spans="1:10" x14ac:dyDescent="0.45">
      <c r="I24" s="10">
        <v>219</v>
      </c>
      <c r="J24" s="10" t="s">
        <v>232</v>
      </c>
    </row>
    <row r="25" spans="1:10" x14ac:dyDescent="0.45">
      <c r="C25"/>
      <c r="D25"/>
      <c r="F25" s="15"/>
      <c r="I25" s="10">
        <v>220</v>
      </c>
      <c r="J25" s="10" t="s">
        <v>227</v>
      </c>
    </row>
    <row r="26" spans="1:10" x14ac:dyDescent="0.45">
      <c r="C26"/>
      <c r="D26"/>
      <c r="F26" s="15"/>
      <c r="I26" s="10">
        <v>223</v>
      </c>
      <c r="J26" s="10" t="s">
        <v>224</v>
      </c>
    </row>
    <row r="27" spans="1:10" x14ac:dyDescent="0.45">
      <c r="C27"/>
      <c r="D27"/>
      <c r="F27" s="15"/>
      <c r="I27" s="10">
        <v>224</v>
      </c>
      <c r="J27" s="10" t="s">
        <v>230</v>
      </c>
    </row>
    <row r="28" spans="1:10" x14ac:dyDescent="0.45">
      <c r="C28"/>
      <c r="D28"/>
      <c r="F28"/>
      <c r="I28" s="10">
        <v>225</v>
      </c>
      <c r="J28" s="10" t="s">
        <v>233</v>
      </c>
    </row>
    <row r="29" spans="1:10" x14ac:dyDescent="0.45">
      <c r="C29"/>
      <c r="D29"/>
      <c r="F29"/>
      <c r="I29" s="10">
        <v>226</v>
      </c>
      <c r="J29" s="10" t="s">
        <v>234</v>
      </c>
    </row>
    <row r="30" spans="1:10" x14ac:dyDescent="0.45">
      <c r="C30"/>
      <c r="D30"/>
      <c r="F30"/>
      <c r="I30" s="10">
        <v>228</v>
      </c>
      <c r="J30" s="10" t="s">
        <v>235</v>
      </c>
    </row>
    <row r="31" spans="1:10" x14ac:dyDescent="0.45">
      <c r="C31"/>
      <c r="D31"/>
      <c r="F31"/>
      <c r="I31" s="10">
        <v>229</v>
      </c>
      <c r="J31" s="10" t="s">
        <v>236</v>
      </c>
    </row>
    <row r="32" spans="1:10" x14ac:dyDescent="0.45">
      <c r="C32"/>
      <c r="D32"/>
      <c r="F32" s="15"/>
      <c r="I32" s="10">
        <v>231</v>
      </c>
      <c r="J32" s="10" t="s">
        <v>237</v>
      </c>
    </row>
    <row r="33" spans="3:10" x14ac:dyDescent="0.45">
      <c r="C33"/>
      <c r="I33" s="10">
        <v>234</v>
      </c>
      <c r="J33" s="10" t="s">
        <v>227</v>
      </c>
    </row>
    <row r="34" spans="3:10" x14ac:dyDescent="0.45">
      <c r="C34"/>
      <c r="I34" s="10">
        <v>236</v>
      </c>
      <c r="J34" s="10" t="s">
        <v>238</v>
      </c>
    </row>
    <row r="35" spans="3:10" x14ac:dyDescent="0.45">
      <c r="I35" s="10">
        <v>239</v>
      </c>
      <c r="J35" s="10" t="s">
        <v>239</v>
      </c>
    </row>
    <row r="36" spans="3:10" x14ac:dyDescent="0.45">
      <c r="I36" s="10">
        <v>240</v>
      </c>
      <c r="J36" s="10" t="s">
        <v>240</v>
      </c>
    </row>
    <row r="37" spans="3:10" x14ac:dyDescent="0.45">
      <c r="I37" s="10">
        <v>242</v>
      </c>
      <c r="J37" s="11" t="s">
        <v>214</v>
      </c>
    </row>
    <row r="38" spans="3:10" x14ac:dyDescent="0.45">
      <c r="I38" s="10">
        <v>246</v>
      </c>
      <c r="J38" s="11" t="s">
        <v>214</v>
      </c>
    </row>
    <row r="39" spans="3:10" x14ac:dyDescent="0.45">
      <c r="I39" s="10">
        <v>248</v>
      </c>
      <c r="J39" s="10" t="s">
        <v>237</v>
      </c>
    </row>
    <row r="40" spans="3:10" x14ac:dyDescent="0.45">
      <c r="I40" s="10">
        <v>250</v>
      </c>
      <c r="J40" s="10" t="s">
        <v>238</v>
      </c>
    </row>
    <row r="41" spans="3:10" x14ac:dyDescent="0.45">
      <c r="I41" s="10">
        <v>251</v>
      </c>
      <c r="J41" s="10" t="s">
        <v>197</v>
      </c>
    </row>
    <row r="42" spans="3:10" x14ac:dyDescent="0.45">
      <c r="I42" s="10">
        <v>252</v>
      </c>
      <c r="J42" s="10" t="s">
        <v>241</v>
      </c>
    </row>
    <row r="43" spans="3:10" x14ac:dyDescent="0.45">
      <c r="I43" s="10">
        <v>253</v>
      </c>
      <c r="J43" s="10" t="s">
        <v>199</v>
      </c>
    </row>
    <row r="44" spans="3:10" x14ac:dyDescent="0.45">
      <c r="I44" s="10">
        <v>254</v>
      </c>
      <c r="J44" s="10" t="s">
        <v>211</v>
      </c>
    </row>
    <row r="45" spans="3:10" x14ac:dyDescent="0.45">
      <c r="I45" s="10">
        <v>256</v>
      </c>
      <c r="J45" s="10" t="s">
        <v>197</v>
      </c>
    </row>
    <row r="46" spans="3:10" x14ac:dyDescent="0.45">
      <c r="I46" s="10">
        <v>260</v>
      </c>
      <c r="J46" s="10" t="s">
        <v>232</v>
      </c>
    </row>
    <row r="47" spans="3:10" x14ac:dyDescent="0.45">
      <c r="I47" s="10">
        <v>262</v>
      </c>
      <c r="J47" s="10" t="s">
        <v>242</v>
      </c>
    </row>
    <row r="48" spans="3:10" x14ac:dyDescent="0.45">
      <c r="I48" s="10">
        <v>264</v>
      </c>
      <c r="J48" s="11" t="s">
        <v>214</v>
      </c>
    </row>
    <row r="49" spans="9:10" x14ac:dyDescent="0.45">
      <c r="I49" s="10">
        <v>267</v>
      </c>
      <c r="J49" s="10" t="s">
        <v>224</v>
      </c>
    </row>
    <row r="50" spans="9:10" x14ac:dyDescent="0.45">
      <c r="I50" s="10">
        <v>268</v>
      </c>
      <c r="J50" s="11" t="s">
        <v>214</v>
      </c>
    </row>
    <row r="51" spans="9:10" x14ac:dyDescent="0.45">
      <c r="I51" s="10">
        <v>269</v>
      </c>
      <c r="J51" s="10" t="s">
        <v>237</v>
      </c>
    </row>
    <row r="52" spans="9:10" x14ac:dyDescent="0.45">
      <c r="I52" s="10">
        <v>270</v>
      </c>
      <c r="J52" s="10" t="s">
        <v>243</v>
      </c>
    </row>
    <row r="53" spans="9:10" x14ac:dyDescent="0.45">
      <c r="I53" s="10">
        <v>272</v>
      </c>
      <c r="J53" s="10" t="s">
        <v>224</v>
      </c>
    </row>
    <row r="54" spans="9:10" x14ac:dyDescent="0.45">
      <c r="I54" s="10">
        <v>276</v>
      </c>
      <c r="J54" s="10" t="s">
        <v>244</v>
      </c>
    </row>
    <row r="55" spans="9:10" x14ac:dyDescent="0.45">
      <c r="I55" s="10">
        <v>278</v>
      </c>
      <c r="J55" s="10" t="s">
        <v>237</v>
      </c>
    </row>
    <row r="56" spans="9:10" x14ac:dyDescent="0.45">
      <c r="I56" s="10">
        <v>281</v>
      </c>
      <c r="J56" s="10" t="s">
        <v>211</v>
      </c>
    </row>
    <row r="57" spans="9:10" x14ac:dyDescent="0.45">
      <c r="I57" s="10">
        <v>283</v>
      </c>
      <c r="J57" s="10" t="s">
        <v>227</v>
      </c>
    </row>
    <row r="58" spans="9:10" x14ac:dyDescent="0.45">
      <c r="I58" s="10">
        <v>284</v>
      </c>
      <c r="J58" s="11" t="s">
        <v>214</v>
      </c>
    </row>
    <row r="59" spans="9:10" x14ac:dyDescent="0.45">
      <c r="I59" s="10">
        <v>289</v>
      </c>
      <c r="J59" s="10" t="s">
        <v>234</v>
      </c>
    </row>
    <row r="60" spans="9:10" x14ac:dyDescent="0.45">
      <c r="I60" s="10">
        <v>301</v>
      </c>
      <c r="J60" s="10" t="s">
        <v>240</v>
      </c>
    </row>
    <row r="61" spans="9:10" x14ac:dyDescent="0.45">
      <c r="I61" s="10">
        <v>302</v>
      </c>
      <c r="J61" s="10" t="s">
        <v>245</v>
      </c>
    </row>
    <row r="62" spans="9:10" x14ac:dyDescent="0.45">
      <c r="I62" s="10">
        <v>303</v>
      </c>
      <c r="J62" s="10" t="s">
        <v>246</v>
      </c>
    </row>
    <row r="63" spans="9:10" x14ac:dyDescent="0.45">
      <c r="I63" s="10">
        <v>304</v>
      </c>
      <c r="J63" s="10" t="s">
        <v>247</v>
      </c>
    </row>
    <row r="64" spans="9:10" x14ac:dyDescent="0.45">
      <c r="I64" s="10">
        <v>305</v>
      </c>
      <c r="J64" s="10" t="s">
        <v>239</v>
      </c>
    </row>
    <row r="65" spans="9:10" x14ac:dyDescent="0.45">
      <c r="I65" s="10">
        <v>306</v>
      </c>
      <c r="J65" s="10" t="s">
        <v>248</v>
      </c>
    </row>
    <row r="66" spans="9:10" x14ac:dyDescent="0.45">
      <c r="I66" s="10">
        <v>307</v>
      </c>
      <c r="J66" s="10" t="s">
        <v>249</v>
      </c>
    </row>
    <row r="67" spans="9:10" x14ac:dyDescent="0.45">
      <c r="I67" s="10">
        <v>308</v>
      </c>
      <c r="J67" s="10" t="s">
        <v>250</v>
      </c>
    </row>
    <row r="68" spans="9:10" x14ac:dyDescent="0.45">
      <c r="I68" s="10">
        <v>309</v>
      </c>
      <c r="J68" s="10" t="s">
        <v>230</v>
      </c>
    </row>
    <row r="69" spans="9:10" x14ac:dyDescent="0.45">
      <c r="I69" s="10">
        <v>310</v>
      </c>
      <c r="J69" s="10" t="s">
        <v>208</v>
      </c>
    </row>
    <row r="70" spans="9:10" x14ac:dyDescent="0.45">
      <c r="I70" s="10">
        <v>311</v>
      </c>
      <c r="J70" s="11" t="s">
        <v>214</v>
      </c>
    </row>
    <row r="71" spans="9:10" x14ac:dyDescent="0.45">
      <c r="I71" s="10">
        <v>312</v>
      </c>
      <c r="J71" s="10" t="s">
        <v>230</v>
      </c>
    </row>
    <row r="72" spans="9:10" x14ac:dyDescent="0.45">
      <c r="I72" s="10">
        <v>313</v>
      </c>
      <c r="J72" s="10" t="s">
        <v>237</v>
      </c>
    </row>
    <row r="73" spans="9:10" x14ac:dyDescent="0.45">
      <c r="I73" s="10">
        <v>314</v>
      </c>
      <c r="J73" s="10" t="s">
        <v>251</v>
      </c>
    </row>
    <row r="74" spans="9:10" x14ac:dyDescent="0.45">
      <c r="I74" s="10">
        <v>315</v>
      </c>
      <c r="J74" s="10" t="s">
        <v>217</v>
      </c>
    </row>
    <row r="75" spans="9:10" x14ac:dyDescent="0.45">
      <c r="I75" s="10">
        <v>316</v>
      </c>
      <c r="J75" s="10" t="s">
        <v>252</v>
      </c>
    </row>
    <row r="76" spans="9:10" x14ac:dyDescent="0.45">
      <c r="I76" s="10">
        <v>317</v>
      </c>
      <c r="J76" s="10" t="s">
        <v>232</v>
      </c>
    </row>
    <row r="77" spans="9:10" x14ac:dyDescent="0.45">
      <c r="I77" s="10">
        <v>318</v>
      </c>
      <c r="J77" s="10" t="s">
        <v>233</v>
      </c>
    </row>
    <row r="78" spans="9:10" x14ac:dyDescent="0.45">
      <c r="I78" s="10">
        <v>319</v>
      </c>
      <c r="J78" s="10" t="s">
        <v>253</v>
      </c>
    </row>
    <row r="79" spans="9:10" x14ac:dyDescent="0.45">
      <c r="I79" s="10">
        <v>320</v>
      </c>
      <c r="J79" s="10" t="s">
        <v>231</v>
      </c>
    </row>
    <row r="80" spans="9:10" x14ac:dyDescent="0.45">
      <c r="I80" s="10">
        <v>321</v>
      </c>
      <c r="J80" s="10" t="s">
        <v>239</v>
      </c>
    </row>
    <row r="81" spans="9:10" x14ac:dyDescent="0.45">
      <c r="I81" s="10">
        <v>323</v>
      </c>
      <c r="J81" s="10" t="s">
        <v>208</v>
      </c>
    </row>
    <row r="82" spans="9:10" x14ac:dyDescent="0.45">
      <c r="I82" s="10">
        <v>325</v>
      </c>
      <c r="J82" s="10" t="s">
        <v>211</v>
      </c>
    </row>
    <row r="83" spans="9:10" x14ac:dyDescent="0.45">
      <c r="I83" s="10">
        <v>330</v>
      </c>
      <c r="J83" s="10" t="s">
        <v>227</v>
      </c>
    </row>
    <row r="84" spans="9:10" x14ac:dyDescent="0.45">
      <c r="I84" s="10">
        <v>331</v>
      </c>
      <c r="J84" s="10" t="s">
        <v>230</v>
      </c>
    </row>
    <row r="85" spans="9:10" x14ac:dyDescent="0.45">
      <c r="I85" s="10">
        <v>332</v>
      </c>
      <c r="J85" s="10" t="s">
        <v>217</v>
      </c>
    </row>
    <row r="86" spans="9:10" x14ac:dyDescent="0.45">
      <c r="I86" s="10">
        <v>334</v>
      </c>
      <c r="J86" s="10" t="s">
        <v>197</v>
      </c>
    </row>
    <row r="87" spans="9:10" x14ac:dyDescent="0.45">
      <c r="I87" s="10">
        <v>336</v>
      </c>
      <c r="J87" s="10" t="s">
        <v>241</v>
      </c>
    </row>
    <row r="88" spans="9:10" x14ac:dyDescent="0.45">
      <c r="I88" s="10">
        <v>337</v>
      </c>
      <c r="J88" s="10" t="s">
        <v>233</v>
      </c>
    </row>
    <row r="89" spans="9:10" x14ac:dyDescent="0.45">
      <c r="I89" s="10">
        <v>339</v>
      </c>
      <c r="J89" s="10" t="s">
        <v>254</v>
      </c>
    </row>
    <row r="90" spans="9:10" x14ac:dyDescent="0.45">
      <c r="I90" s="10">
        <v>340</v>
      </c>
      <c r="J90" s="10" t="s">
        <v>255</v>
      </c>
    </row>
    <row r="91" spans="9:10" x14ac:dyDescent="0.45">
      <c r="I91" s="10">
        <v>341</v>
      </c>
      <c r="J91" s="10" t="s">
        <v>208</v>
      </c>
    </row>
    <row r="92" spans="9:10" x14ac:dyDescent="0.45">
      <c r="I92" s="10">
        <v>343</v>
      </c>
      <c r="J92" s="10" t="s">
        <v>234</v>
      </c>
    </row>
    <row r="93" spans="9:10" x14ac:dyDescent="0.45">
      <c r="I93" s="10">
        <v>345</v>
      </c>
      <c r="J93" s="11" t="s">
        <v>214</v>
      </c>
    </row>
    <row r="94" spans="9:10" x14ac:dyDescent="0.45">
      <c r="I94" s="10">
        <v>346</v>
      </c>
      <c r="J94" s="10" t="s">
        <v>211</v>
      </c>
    </row>
    <row r="95" spans="9:10" x14ac:dyDescent="0.45">
      <c r="I95" s="10">
        <v>347</v>
      </c>
      <c r="J95" s="10" t="s">
        <v>217</v>
      </c>
    </row>
    <row r="96" spans="9:10" x14ac:dyDescent="0.45">
      <c r="I96" s="10">
        <v>351</v>
      </c>
      <c r="J96" s="10" t="s">
        <v>254</v>
      </c>
    </row>
    <row r="97" spans="9:10" x14ac:dyDescent="0.45">
      <c r="I97" s="10">
        <v>352</v>
      </c>
      <c r="J97" s="10" t="s">
        <v>239</v>
      </c>
    </row>
    <row r="98" spans="9:10" x14ac:dyDescent="0.45">
      <c r="I98" s="10">
        <v>360</v>
      </c>
      <c r="J98" s="10" t="s">
        <v>199</v>
      </c>
    </row>
    <row r="99" spans="9:10" x14ac:dyDescent="0.45">
      <c r="I99" s="10">
        <v>361</v>
      </c>
      <c r="J99" s="10" t="s">
        <v>211</v>
      </c>
    </row>
    <row r="100" spans="9:10" x14ac:dyDescent="0.45">
      <c r="I100" s="10">
        <v>365</v>
      </c>
      <c r="J100" s="10" t="s">
        <v>234</v>
      </c>
    </row>
    <row r="101" spans="9:10" x14ac:dyDescent="0.45">
      <c r="I101" s="10">
        <v>369</v>
      </c>
      <c r="J101" s="10" t="s">
        <v>208</v>
      </c>
    </row>
    <row r="102" spans="9:10" x14ac:dyDescent="0.45">
      <c r="I102" s="10">
        <v>380</v>
      </c>
      <c r="J102" s="10" t="s">
        <v>227</v>
      </c>
    </row>
    <row r="103" spans="9:10" x14ac:dyDescent="0.45">
      <c r="I103" s="10">
        <v>385</v>
      </c>
      <c r="J103" s="10" t="s">
        <v>256</v>
      </c>
    </row>
    <row r="104" spans="9:10" x14ac:dyDescent="0.45">
      <c r="I104" s="10">
        <v>386</v>
      </c>
      <c r="J104" s="10" t="s">
        <v>239</v>
      </c>
    </row>
    <row r="105" spans="9:10" x14ac:dyDescent="0.45">
      <c r="I105" s="10">
        <v>401</v>
      </c>
      <c r="J105" s="10" t="s">
        <v>257</v>
      </c>
    </row>
    <row r="106" spans="9:10" x14ac:dyDescent="0.45">
      <c r="I106" s="10">
        <v>402</v>
      </c>
      <c r="J106" s="10" t="s">
        <v>250</v>
      </c>
    </row>
    <row r="107" spans="9:10" x14ac:dyDescent="0.45">
      <c r="I107" s="10">
        <v>403</v>
      </c>
      <c r="J107" s="10" t="s">
        <v>258</v>
      </c>
    </row>
    <row r="108" spans="9:10" x14ac:dyDescent="0.45">
      <c r="I108" s="10">
        <v>404</v>
      </c>
      <c r="J108" s="10" t="s">
        <v>236</v>
      </c>
    </row>
    <row r="109" spans="9:10" x14ac:dyDescent="0.45">
      <c r="I109" s="10">
        <v>405</v>
      </c>
      <c r="J109" s="10" t="s">
        <v>259</v>
      </c>
    </row>
    <row r="110" spans="9:10" x14ac:dyDescent="0.45">
      <c r="I110" s="10">
        <v>406</v>
      </c>
      <c r="J110" s="10" t="s">
        <v>260</v>
      </c>
    </row>
    <row r="111" spans="9:10" x14ac:dyDescent="0.45">
      <c r="I111" s="10">
        <v>407</v>
      </c>
      <c r="J111" s="10" t="s">
        <v>239</v>
      </c>
    </row>
    <row r="112" spans="9:10" x14ac:dyDescent="0.45">
      <c r="I112" s="10">
        <v>408</v>
      </c>
      <c r="J112" s="10" t="s">
        <v>208</v>
      </c>
    </row>
    <row r="113" spans="9:10" x14ac:dyDescent="0.45">
      <c r="I113" s="10">
        <v>409</v>
      </c>
      <c r="J113" s="10" t="s">
        <v>211</v>
      </c>
    </row>
    <row r="114" spans="9:10" x14ac:dyDescent="0.45">
      <c r="I114" s="10">
        <v>410</v>
      </c>
      <c r="J114" s="10" t="s">
        <v>240</v>
      </c>
    </row>
    <row r="115" spans="9:10" x14ac:dyDescent="0.45">
      <c r="I115" s="10">
        <v>411</v>
      </c>
      <c r="J115" s="11" t="s">
        <v>214</v>
      </c>
    </row>
    <row r="116" spans="9:10" x14ac:dyDescent="0.45">
      <c r="I116" s="10">
        <v>412</v>
      </c>
      <c r="J116" s="10" t="s">
        <v>224</v>
      </c>
    </row>
    <row r="117" spans="9:10" x14ac:dyDescent="0.45">
      <c r="I117" s="10">
        <v>413</v>
      </c>
      <c r="J117" s="10" t="s">
        <v>254</v>
      </c>
    </row>
    <row r="118" spans="9:10" x14ac:dyDescent="0.45">
      <c r="I118" s="10">
        <v>414</v>
      </c>
      <c r="J118" s="10" t="s">
        <v>242</v>
      </c>
    </row>
    <row r="119" spans="9:10" x14ac:dyDescent="0.45">
      <c r="I119" s="10">
        <v>415</v>
      </c>
      <c r="J119" s="10" t="s">
        <v>208</v>
      </c>
    </row>
    <row r="120" spans="9:10" x14ac:dyDescent="0.45">
      <c r="I120" s="10">
        <v>416</v>
      </c>
      <c r="J120" s="10" t="s">
        <v>234</v>
      </c>
    </row>
    <row r="121" spans="9:10" x14ac:dyDescent="0.45">
      <c r="I121" s="10">
        <v>417</v>
      </c>
      <c r="J121" s="10" t="s">
        <v>251</v>
      </c>
    </row>
    <row r="122" spans="9:10" x14ac:dyDescent="0.45">
      <c r="I122" s="10">
        <v>418</v>
      </c>
      <c r="J122" s="10" t="s">
        <v>261</v>
      </c>
    </row>
    <row r="123" spans="9:10" x14ac:dyDescent="0.45">
      <c r="I123" s="10">
        <v>419</v>
      </c>
      <c r="J123" s="10" t="s">
        <v>227</v>
      </c>
    </row>
    <row r="124" spans="9:10" x14ac:dyDescent="0.45">
      <c r="I124" s="10">
        <v>423</v>
      </c>
      <c r="J124" s="10" t="s">
        <v>262</v>
      </c>
    </row>
    <row r="125" spans="9:10" x14ac:dyDescent="0.45">
      <c r="I125" s="10">
        <v>424</v>
      </c>
      <c r="J125" s="10" t="s">
        <v>208</v>
      </c>
    </row>
    <row r="126" spans="9:10" x14ac:dyDescent="0.45">
      <c r="I126" s="10">
        <v>425</v>
      </c>
      <c r="J126" s="10" t="s">
        <v>199</v>
      </c>
    </row>
    <row r="127" spans="9:10" x14ac:dyDescent="0.45">
      <c r="I127" s="10">
        <v>430</v>
      </c>
      <c r="J127" s="10" t="s">
        <v>211</v>
      </c>
    </row>
    <row r="128" spans="9:10" x14ac:dyDescent="0.45">
      <c r="I128" s="10">
        <v>431</v>
      </c>
      <c r="J128" s="10" t="s">
        <v>194</v>
      </c>
    </row>
    <row r="129" spans="9:10" x14ac:dyDescent="0.45">
      <c r="I129" s="10">
        <v>432</v>
      </c>
      <c r="J129" s="10" t="s">
        <v>211</v>
      </c>
    </row>
    <row r="130" spans="9:10" x14ac:dyDescent="0.45">
      <c r="I130" s="10">
        <v>434</v>
      </c>
      <c r="J130" s="10" t="s">
        <v>244</v>
      </c>
    </row>
    <row r="131" spans="9:10" x14ac:dyDescent="0.45">
      <c r="I131" s="10">
        <v>435</v>
      </c>
      <c r="J131" s="10" t="s">
        <v>256</v>
      </c>
    </row>
    <row r="132" spans="9:10" x14ac:dyDescent="0.45">
      <c r="I132" s="10">
        <v>437</v>
      </c>
      <c r="J132" s="10" t="s">
        <v>234</v>
      </c>
    </row>
    <row r="133" spans="9:10" x14ac:dyDescent="0.45">
      <c r="I133" s="10">
        <v>438</v>
      </c>
      <c r="J133" s="10" t="s">
        <v>261</v>
      </c>
    </row>
    <row r="134" spans="9:10" x14ac:dyDescent="0.45">
      <c r="I134" s="10">
        <v>440</v>
      </c>
      <c r="J134" s="10" t="s">
        <v>227</v>
      </c>
    </row>
    <row r="135" spans="9:10" x14ac:dyDescent="0.45">
      <c r="I135" s="10">
        <v>441</v>
      </c>
      <c r="J135" s="11" t="s">
        <v>214</v>
      </c>
    </row>
    <row r="136" spans="9:10" x14ac:dyDescent="0.45">
      <c r="I136" s="10">
        <v>442</v>
      </c>
      <c r="J136" s="10" t="s">
        <v>208</v>
      </c>
    </row>
    <row r="137" spans="9:10" x14ac:dyDescent="0.45">
      <c r="I137" s="10">
        <v>443</v>
      </c>
      <c r="J137" s="10" t="s">
        <v>240</v>
      </c>
    </row>
    <row r="138" spans="9:10" x14ac:dyDescent="0.45">
      <c r="I138" s="10">
        <v>450</v>
      </c>
      <c r="J138" s="10" t="s">
        <v>261</v>
      </c>
    </row>
    <row r="139" spans="9:10" x14ac:dyDescent="0.45">
      <c r="I139" s="10">
        <v>456</v>
      </c>
      <c r="J139" s="11" t="s">
        <v>214</v>
      </c>
    </row>
    <row r="140" spans="9:10" x14ac:dyDescent="0.45">
      <c r="I140" s="10">
        <v>458</v>
      </c>
      <c r="J140" s="10" t="s">
        <v>263</v>
      </c>
    </row>
    <row r="141" spans="9:10" x14ac:dyDescent="0.45">
      <c r="I141" s="10">
        <v>464</v>
      </c>
      <c r="J141" s="10" t="s">
        <v>230</v>
      </c>
    </row>
    <row r="142" spans="9:10" x14ac:dyDescent="0.45">
      <c r="I142" s="10">
        <v>469</v>
      </c>
      <c r="J142" s="10" t="s">
        <v>211</v>
      </c>
    </row>
    <row r="143" spans="9:10" x14ac:dyDescent="0.45">
      <c r="I143" s="10">
        <v>470</v>
      </c>
      <c r="J143" s="10" t="s">
        <v>236</v>
      </c>
    </row>
    <row r="144" spans="9:10" x14ac:dyDescent="0.45">
      <c r="I144" s="10">
        <v>473</v>
      </c>
      <c r="J144" s="11" t="s">
        <v>214</v>
      </c>
    </row>
    <row r="145" spans="9:10" x14ac:dyDescent="0.45">
      <c r="I145" s="10">
        <v>475</v>
      </c>
      <c r="J145" s="10" t="s">
        <v>191</v>
      </c>
    </row>
    <row r="146" spans="9:10" x14ac:dyDescent="0.45">
      <c r="I146" s="10">
        <v>478</v>
      </c>
      <c r="J146" s="10" t="s">
        <v>236</v>
      </c>
    </row>
    <row r="147" spans="9:10" x14ac:dyDescent="0.45">
      <c r="I147" s="10">
        <v>479</v>
      </c>
      <c r="J147" s="10" t="s">
        <v>264</v>
      </c>
    </row>
    <row r="148" spans="9:10" x14ac:dyDescent="0.45">
      <c r="I148" s="10">
        <v>480</v>
      </c>
      <c r="J148" s="10" t="s">
        <v>265</v>
      </c>
    </row>
    <row r="149" spans="9:10" x14ac:dyDescent="0.45">
      <c r="I149" s="10">
        <v>481</v>
      </c>
      <c r="J149" s="10" t="s">
        <v>261</v>
      </c>
    </row>
    <row r="150" spans="9:10" x14ac:dyDescent="0.45">
      <c r="I150" s="10">
        <v>484</v>
      </c>
      <c r="J150" s="10" t="s">
        <v>224</v>
      </c>
    </row>
    <row r="151" spans="9:10" x14ac:dyDescent="0.45">
      <c r="I151" s="10">
        <v>500</v>
      </c>
      <c r="J151" s="11" t="s">
        <v>214</v>
      </c>
    </row>
    <row r="152" spans="9:10" x14ac:dyDescent="0.45">
      <c r="I152" s="10">
        <v>501</v>
      </c>
      <c r="J152" s="10" t="s">
        <v>264</v>
      </c>
    </row>
    <row r="153" spans="9:10" x14ac:dyDescent="0.45">
      <c r="I153" s="10">
        <v>502</v>
      </c>
      <c r="J153" s="10" t="s">
        <v>243</v>
      </c>
    </row>
    <row r="154" spans="9:10" x14ac:dyDescent="0.45">
      <c r="I154" s="10">
        <v>503</v>
      </c>
      <c r="J154" s="10" t="s">
        <v>263</v>
      </c>
    </row>
    <row r="155" spans="9:10" x14ac:dyDescent="0.45">
      <c r="I155" s="10">
        <v>504</v>
      </c>
      <c r="J155" s="10" t="s">
        <v>233</v>
      </c>
    </row>
    <row r="156" spans="9:10" x14ac:dyDescent="0.45">
      <c r="I156" s="10">
        <v>505</v>
      </c>
      <c r="J156" s="10" t="s">
        <v>266</v>
      </c>
    </row>
    <row r="157" spans="9:10" x14ac:dyDescent="0.45">
      <c r="I157" s="10">
        <v>506</v>
      </c>
      <c r="J157" s="10" t="s">
        <v>267</v>
      </c>
    </row>
    <row r="158" spans="9:10" x14ac:dyDescent="0.45">
      <c r="I158" s="10">
        <v>507</v>
      </c>
      <c r="J158" s="10" t="s">
        <v>231</v>
      </c>
    </row>
    <row r="159" spans="9:10" x14ac:dyDescent="0.45">
      <c r="I159" s="10">
        <v>508</v>
      </c>
      <c r="J159" s="10" t="s">
        <v>254</v>
      </c>
    </row>
    <row r="160" spans="9:10" x14ac:dyDescent="0.45">
      <c r="I160" s="10">
        <v>509</v>
      </c>
      <c r="J160" s="10" t="s">
        <v>199</v>
      </c>
    </row>
    <row r="161" spans="9:10" x14ac:dyDescent="0.45">
      <c r="I161" s="10">
        <v>510</v>
      </c>
      <c r="J161" s="10" t="s">
        <v>208</v>
      </c>
    </row>
    <row r="162" spans="9:10" x14ac:dyDescent="0.45">
      <c r="I162" s="10">
        <v>511</v>
      </c>
      <c r="J162" s="11" t="s">
        <v>214</v>
      </c>
    </row>
    <row r="163" spans="9:10" x14ac:dyDescent="0.45">
      <c r="I163" s="10">
        <v>512</v>
      </c>
      <c r="J163" s="10" t="s">
        <v>211</v>
      </c>
    </row>
    <row r="164" spans="9:10" x14ac:dyDescent="0.45">
      <c r="I164" s="10">
        <v>513</v>
      </c>
      <c r="J164" s="10" t="s">
        <v>227</v>
      </c>
    </row>
    <row r="165" spans="9:10" x14ac:dyDescent="0.45">
      <c r="I165" s="10">
        <v>514</v>
      </c>
      <c r="J165" s="10" t="s">
        <v>261</v>
      </c>
    </row>
    <row r="166" spans="9:10" x14ac:dyDescent="0.45">
      <c r="I166" s="10">
        <v>515</v>
      </c>
      <c r="J166" s="10" t="s">
        <v>253</v>
      </c>
    </row>
    <row r="167" spans="9:10" x14ac:dyDescent="0.45">
      <c r="I167" s="10">
        <v>516</v>
      </c>
      <c r="J167" s="10" t="s">
        <v>217</v>
      </c>
    </row>
    <row r="168" spans="9:10" x14ac:dyDescent="0.45">
      <c r="I168" s="10">
        <v>517</v>
      </c>
      <c r="J168" s="10" t="s">
        <v>237</v>
      </c>
    </row>
    <row r="169" spans="9:10" x14ac:dyDescent="0.45">
      <c r="I169" s="10">
        <v>518</v>
      </c>
      <c r="J169" s="10" t="s">
        <v>217</v>
      </c>
    </row>
    <row r="170" spans="9:10" x14ac:dyDescent="0.45">
      <c r="I170" s="10">
        <v>519</v>
      </c>
      <c r="J170" s="10" t="s">
        <v>234</v>
      </c>
    </row>
    <row r="171" spans="9:10" x14ac:dyDescent="0.45">
      <c r="I171" s="10">
        <v>520</v>
      </c>
      <c r="J171" s="10" t="s">
        <v>265</v>
      </c>
    </row>
    <row r="172" spans="9:10" x14ac:dyDescent="0.45">
      <c r="I172" s="10">
        <v>530</v>
      </c>
      <c r="J172" s="10" t="s">
        <v>208</v>
      </c>
    </row>
    <row r="173" spans="9:10" x14ac:dyDescent="0.45">
      <c r="I173" s="10">
        <v>539</v>
      </c>
      <c r="J173" s="10" t="s">
        <v>259</v>
      </c>
    </row>
    <row r="174" spans="9:10" x14ac:dyDescent="0.45">
      <c r="I174" s="10">
        <v>540</v>
      </c>
      <c r="J174" s="10" t="s">
        <v>244</v>
      </c>
    </row>
    <row r="175" spans="9:10" x14ac:dyDescent="0.45">
      <c r="I175" s="10">
        <v>541</v>
      </c>
      <c r="J175" s="10" t="s">
        <v>263</v>
      </c>
    </row>
    <row r="176" spans="9:10" x14ac:dyDescent="0.45">
      <c r="I176" s="10">
        <v>548</v>
      </c>
      <c r="J176" s="10" t="s">
        <v>234</v>
      </c>
    </row>
    <row r="177" spans="9:10" x14ac:dyDescent="0.45">
      <c r="I177" s="10">
        <v>551</v>
      </c>
      <c r="J177" s="10" t="s">
        <v>185</v>
      </c>
    </row>
    <row r="178" spans="9:10" x14ac:dyDescent="0.45">
      <c r="I178" s="10">
        <v>555</v>
      </c>
      <c r="J178" s="11" t="s">
        <v>214</v>
      </c>
    </row>
    <row r="179" spans="9:10" x14ac:dyDescent="0.45">
      <c r="I179" s="10">
        <v>557</v>
      </c>
      <c r="J179" s="10" t="s">
        <v>251</v>
      </c>
    </row>
    <row r="180" spans="9:10" x14ac:dyDescent="0.45">
      <c r="I180" s="10">
        <v>559</v>
      </c>
      <c r="J180" s="10" t="s">
        <v>208</v>
      </c>
    </row>
    <row r="181" spans="9:10" x14ac:dyDescent="0.45">
      <c r="I181" s="10">
        <v>561</v>
      </c>
      <c r="J181" s="10" t="s">
        <v>239</v>
      </c>
    </row>
    <row r="182" spans="9:10" x14ac:dyDescent="0.45">
      <c r="I182" s="10">
        <v>562</v>
      </c>
      <c r="J182" s="10" t="s">
        <v>208</v>
      </c>
    </row>
    <row r="183" spans="9:10" x14ac:dyDescent="0.45">
      <c r="I183" s="10">
        <v>563</v>
      </c>
      <c r="J183" s="10" t="s">
        <v>253</v>
      </c>
    </row>
    <row r="184" spans="9:10" x14ac:dyDescent="0.45">
      <c r="I184" s="10">
        <v>564</v>
      </c>
      <c r="J184" s="10" t="s">
        <v>199</v>
      </c>
    </row>
    <row r="185" spans="9:10" x14ac:dyDescent="0.45">
      <c r="I185" s="10">
        <v>567</v>
      </c>
      <c r="J185" s="10" t="s">
        <v>227</v>
      </c>
    </row>
    <row r="186" spans="9:10" x14ac:dyDescent="0.45">
      <c r="I186" s="10">
        <v>570</v>
      </c>
      <c r="J186" s="10" t="s">
        <v>224</v>
      </c>
    </row>
    <row r="187" spans="9:10" x14ac:dyDescent="0.45">
      <c r="I187" s="10">
        <v>571</v>
      </c>
      <c r="J187" s="10" t="s">
        <v>244</v>
      </c>
    </row>
    <row r="188" spans="9:10" x14ac:dyDescent="0.45">
      <c r="I188" s="10">
        <v>573</v>
      </c>
      <c r="J188" s="10" t="s">
        <v>251</v>
      </c>
    </row>
    <row r="189" spans="9:10" x14ac:dyDescent="0.45">
      <c r="I189" s="10">
        <v>574</v>
      </c>
      <c r="J189" s="10" t="s">
        <v>232</v>
      </c>
    </row>
    <row r="190" spans="9:10" x14ac:dyDescent="0.45">
      <c r="I190" s="10">
        <v>575</v>
      </c>
      <c r="J190" s="10" t="s">
        <v>266</v>
      </c>
    </row>
    <row r="191" spans="9:10" x14ac:dyDescent="0.45">
      <c r="I191" s="10">
        <v>579</v>
      </c>
      <c r="J191" s="10" t="s">
        <v>261</v>
      </c>
    </row>
    <row r="192" spans="9:10" x14ac:dyDescent="0.45">
      <c r="I192" s="10">
        <v>580</v>
      </c>
      <c r="J192" s="10" t="s">
        <v>259</v>
      </c>
    </row>
    <row r="193" spans="9:10" x14ac:dyDescent="0.45">
      <c r="I193" s="10">
        <v>581</v>
      </c>
      <c r="J193" s="10" t="s">
        <v>261</v>
      </c>
    </row>
    <row r="194" spans="9:10" x14ac:dyDescent="0.45">
      <c r="I194" s="10">
        <v>585</v>
      </c>
      <c r="J194" s="10" t="s">
        <v>217</v>
      </c>
    </row>
    <row r="195" spans="9:10" x14ac:dyDescent="0.45">
      <c r="I195" s="10">
        <v>586</v>
      </c>
      <c r="J195" s="10" t="s">
        <v>237</v>
      </c>
    </row>
    <row r="196" spans="9:10" x14ac:dyDescent="0.45">
      <c r="I196" s="10">
        <v>587</v>
      </c>
      <c r="J196" s="10" t="s">
        <v>258</v>
      </c>
    </row>
    <row r="197" spans="9:10" x14ac:dyDescent="0.45">
      <c r="I197" s="10">
        <v>600</v>
      </c>
      <c r="J197" s="11" t="s">
        <v>214</v>
      </c>
    </row>
    <row r="198" spans="9:10" x14ac:dyDescent="0.45">
      <c r="I198" s="10">
        <v>601</v>
      </c>
      <c r="J198" s="10" t="s">
        <v>235</v>
      </c>
    </row>
    <row r="199" spans="9:10" x14ac:dyDescent="0.45">
      <c r="I199" s="10">
        <v>602</v>
      </c>
      <c r="J199" s="10" t="s">
        <v>265</v>
      </c>
    </row>
    <row r="200" spans="9:10" x14ac:dyDescent="0.45">
      <c r="I200" s="10">
        <v>603</v>
      </c>
      <c r="J200" s="10" t="s">
        <v>268</v>
      </c>
    </row>
    <row r="201" spans="9:10" x14ac:dyDescent="0.45">
      <c r="I201" s="10">
        <v>604</v>
      </c>
      <c r="J201" s="10" t="s">
        <v>238</v>
      </c>
    </row>
    <row r="202" spans="9:10" x14ac:dyDescent="0.45">
      <c r="I202" s="10">
        <v>605</v>
      </c>
      <c r="J202" s="10" t="s">
        <v>269</v>
      </c>
    </row>
    <row r="203" spans="9:10" x14ac:dyDescent="0.45">
      <c r="I203" s="10">
        <v>606</v>
      </c>
      <c r="J203" s="10" t="s">
        <v>243</v>
      </c>
    </row>
    <row r="204" spans="9:10" x14ac:dyDescent="0.45">
      <c r="I204" s="10">
        <v>607</v>
      </c>
      <c r="J204" s="10" t="s">
        <v>217</v>
      </c>
    </row>
    <row r="205" spans="9:10" x14ac:dyDescent="0.45">
      <c r="I205" s="10">
        <v>608</v>
      </c>
      <c r="J205" s="10" t="s">
        <v>242</v>
      </c>
    </row>
    <row r="206" spans="9:10" x14ac:dyDescent="0.45">
      <c r="I206" s="10">
        <v>609</v>
      </c>
      <c r="J206" s="10" t="s">
        <v>185</v>
      </c>
    </row>
    <row r="207" spans="9:10" x14ac:dyDescent="0.45">
      <c r="I207" s="10">
        <v>610</v>
      </c>
      <c r="J207" s="10" t="s">
        <v>224</v>
      </c>
    </row>
    <row r="208" spans="9:10" x14ac:dyDescent="0.45">
      <c r="I208" s="10">
        <v>611</v>
      </c>
      <c r="J208" s="11" t="s">
        <v>214</v>
      </c>
    </row>
    <row r="209" spans="9:10" x14ac:dyDescent="0.45">
      <c r="I209" s="10">
        <v>612</v>
      </c>
      <c r="J209" s="10" t="s">
        <v>231</v>
      </c>
    </row>
    <row r="210" spans="9:10" x14ac:dyDescent="0.45">
      <c r="I210" s="10">
        <v>613</v>
      </c>
      <c r="J210" s="10" t="s">
        <v>234</v>
      </c>
    </row>
    <row r="211" spans="9:10" x14ac:dyDescent="0.45">
      <c r="I211" s="10">
        <v>614</v>
      </c>
      <c r="J211" s="10" t="s">
        <v>227</v>
      </c>
    </row>
    <row r="212" spans="9:10" x14ac:dyDescent="0.45">
      <c r="I212" s="10">
        <v>615</v>
      </c>
      <c r="J212" s="10" t="s">
        <v>262</v>
      </c>
    </row>
    <row r="213" spans="9:10" x14ac:dyDescent="0.45">
      <c r="I213" s="10">
        <v>616</v>
      </c>
      <c r="J213" s="10" t="s">
        <v>237</v>
      </c>
    </row>
    <row r="214" spans="9:10" x14ac:dyDescent="0.45">
      <c r="I214" s="10">
        <v>617</v>
      </c>
      <c r="J214" s="10" t="s">
        <v>254</v>
      </c>
    </row>
    <row r="215" spans="9:10" x14ac:dyDescent="0.45">
      <c r="I215" s="10">
        <v>618</v>
      </c>
      <c r="J215" s="10" t="s">
        <v>230</v>
      </c>
    </row>
    <row r="216" spans="9:10" x14ac:dyDescent="0.45">
      <c r="I216" s="10">
        <v>619</v>
      </c>
      <c r="J216" s="10" t="s">
        <v>208</v>
      </c>
    </row>
    <row r="217" spans="9:10" x14ac:dyDescent="0.45">
      <c r="I217" s="10">
        <v>620</v>
      </c>
      <c r="J217" s="10" t="s">
        <v>252</v>
      </c>
    </row>
    <row r="218" spans="9:10" x14ac:dyDescent="0.45">
      <c r="I218" s="10">
        <v>623</v>
      </c>
      <c r="J218" s="10" t="s">
        <v>265</v>
      </c>
    </row>
    <row r="219" spans="9:10" x14ac:dyDescent="0.45">
      <c r="I219" s="10">
        <v>626</v>
      </c>
      <c r="J219" s="10" t="s">
        <v>208</v>
      </c>
    </row>
    <row r="220" spans="9:10" x14ac:dyDescent="0.45">
      <c r="I220" s="10">
        <v>627</v>
      </c>
      <c r="J220" s="10" t="s">
        <v>208</v>
      </c>
    </row>
    <row r="221" spans="9:10" x14ac:dyDescent="0.45">
      <c r="I221" s="10">
        <v>628</v>
      </c>
      <c r="J221" s="10" t="s">
        <v>208</v>
      </c>
    </row>
    <row r="222" spans="9:10" x14ac:dyDescent="0.45">
      <c r="I222" s="10">
        <v>629</v>
      </c>
      <c r="J222" s="10" t="s">
        <v>262</v>
      </c>
    </row>
    <row r="223" spans="9:10" x14ac:dyDescent="0.45">
      <c r="I223" s="10">
        <v>630</v>
      </c>
      <c r="J223" s="10" t="s">
        <v>230</v>
      </c>
    </row>
    <row r="224" spans="9:10" x14ac:dyDescent="0.45">
      <c r="I224" s="10">
        <v>631</v>
      </c>
      <c r="J224" s="10" t="s">
        <v>217</v>
      </c>
    </row>
    <row r="225" spans="9:10" x14ac:dyDescent="0.45">
      <c r="I225" s="10">
        <v>636</v>
      </c>
      <c r="J225" s="10" t="s">
        <v>251</v>
      </c>
    </row>
    <row r="226" spans="9:10" x14ac:dyDescent="0.45">
      <c r="I226" s="10">
        <v>639</v>
      </c>
      <c r="J226" s="10" t="s">
        <v>248</v>
      </c>
    </row>
    <row r="227" spans="9:10" x14ac:dyDescent="0.45">
      <c r="I227" s="10">
        <v>641</v>
      </c>
      <c r="J227" s="10" t="s">
        <v>253</v>
      </c>
    </row>
    <row r="228" spans="9:10" x14ac:dyDescent="0.45">
      <c r="I228" s="10">
        <v>646</v>
      </c>
      <c r="J228" s="10" t="s">
        <v>217</v>
      </c>
    </row>
    <row r="229" spans="9:10" x14ac:dyDescent="0.45">
      <c r="I229" s="10">
        <v>647</v>
      </c>
      <c r="J229" s="10" t="s">
        <v>234</v>
      </c>
    </row>
    <row r="230" spans="9:10" x14ac:dyDescent="0.45">
      <c r="I230" s="10">
        <v>649</v>
      </c>
      <c r="J230" s="11" t="s">
        <v>214</v>
      </c>
    </row>
    <row r="231" spans="9:10" x14ac:dyDescent="0.45">
      <c r="I231" s="10">
        <v>650</v>
      </c>
      <c r="J231" s="10" t="s">
        <v>208</v>
      </c>
    </row>
    <row r="232" spans="9:10" x14ac:dyDescent="0.45">
      <c r="I232" s="10">
        <v>651</v>
      </c>
      <c r="J232" s="10" t="s">
        <v>231</v>
      </c>
    </row>
    <row r="233" spans="9:10" x14ac:dyDescent="0.45">
      <c r="I233" s="10">
        <v>657</v>
      </c>
      <c r="J233" s="10" t="s">
        <v>208</v>
      </c>
    </row>
    <row r="234" spans="9:10" x14ac:dyDescent="0.45">
      <c r="I234" s="10">
        <v>660</v>
      </c>
      <c r="J234" s="10" t="s">
        <v>251</v>
      </c>
    </row>
    <row r="235" spans="9:10" x14ac:dyDescent="0.45">
      <c r="I235" s="10">
        <v>661</v>
      </c>
      <c r="J235" s="10" t="s">
        <v>208</v>
      </c>
    </row>
    <row r="236" spans="9:10" x14ac:dyDescent="0.45">
      <c r="I236" s="10">
        <v>662</v>
      </c>
      <c r="J236" s="10" t="s">
        <v>235</v>
      </c>
    </row>
    <row r="237" spans="9:10" x14ac:dyDescent="0.45">
      <c r="I237" s="10">
        <v>664</v>
      </c>
      <c r="J237" s="11" t="s">
        <v>214</v>
      </c>
    </row>
    <row r="238" spans="9:10" x14ac:dyDescent="0.45">
      <c r="I238" s="10">
        <v>667</v>
      </c>
      <c r="J238" s="10" t="s">
        <v>240</v>
      </c>
    </row>
    <row r="239" spans="9:10" x14ac:dyDescent="0.45">
      <c r="I239" s="10">
        <v>669</v>
      </c>
      <c r="J239" s="10" t="s">
        <v>208</v>
      </c>
    </row>
    <row r="240" spans="9:10" x14ac:dyDescent="0.45">
      <c r="I240" s="10">
        <v>670</v>
      </c>
      <c r="J240" s="10" t="s">
        <v>270</v>
      </c>
    </row>
    <row r="241" spans="9:10" x14ac:dyDescent="0.45">
      <c r="I241" s="10">
        <v>671</v>
      </c>
      <c r="J241" s="10" t="s">
        <v>271</v>
      </c>
    </row>
    <row r="242" spans="9:10" x14ac:dyDescent="0.45">
      <c r="I242" s="10">
        <v>678</v>
      </c>
      <c r="J242" s="10" t="s">
        <v>236</v>
      </c>
    </row>
    <row r="243" spans="9:10" x14ac:dyDescent="0.45">
      <c r="I243" s="10">
        <v>679</v>
      </c>
      <c r="J243" s="10" t="s">
        <v>237</v>
      </c>
    </row>
    <row r="244" spans="9:10" x14ac:dyDescent="0.45">
      <c r="I244" s="10">
        <v>681</v>
      </c>
      <c r="J244" s="10" t="s">
        <v>247</v>
      </c>
    </row>
    <row r="245" spans="9:10" x14ac:dyDescent="0.45">
      <c r="I245" s="10">
        <v>682</v>
      </c>
      <c r="J245" s="10" t="s">
        <v>211</v>
      </c>
    </row>
    <row r="246" spans="9:10" x14ac:dyDescent="0.45">
      <c r="I246" s="10">
        <v>684</v>
      </c>
      <c r="J246" s="11" t="s">
        <v>214</v>
      </c>
    </row>
    <row r="247" spans="9:10" x14ac:dyDescent="0.45">
      <c r="I247" s="10">
        <v>689</v>
      </c>
      <c r="J247" s="10" t="s">
        <v>239</v>
      </c>
    </row>
    <row r="248" spans="9:10" x14ac:dyDescent="0.45">
      <c r="I248" s="10">
        <v>700</v>
      </c>
      <c r="J248" s="11" t="s">
        <v>214</v>
      </c>
    </row>
    <row r="249" spans="9:10" x14ac:dyDescent="0.45">
      <c r="I249" s="10">
        <v>701</v>
      </c>
      <c r="J249" s="10" t="s">
        <v>272</v>
      </c>
    </row>
    <row r="250" spans="9:10" x14ac:dyDescent="0.45">
      <c r="I250" s="10">
        <v>702</v>
      </c>
      <c r="J250" s="10" t="s">
        <v>273</v>
      </c>
    </row>
    <row r="251" spans="9:10" x14ac:dyDescent="0.45">
      <c r="I251" s="10">
        <v>703</v>
      </c>
      <c r="J251" s="10" t="s">
        <v>244</v>
      </c>
    </row>
    <row r="252" spans="9:10" x14ac:dyDescent="0.45">
      <c r="I252" s="10">
        <v>704</v>
      </c>
      <c r="J252" s="10" t="s">
        <v>241</v>
      </c>
    </row>
    <row r="253" spans="9:10" x14ac:dyDescent="0.45">
      <c r="I253" s="10">
        <v>705</v>
      </c>
      <c r="J253" s="10" t="s">
        <v>234</v>
      </c>
    </row>
    <row r="254" spans="9:10" x14ac:dyDescent="0.45">
      <c r="I254" s="10">
        <v>706</v>
      </c>
      <c r="J254" s="10" t="s">
        <v>236</v>
      </c>
    </row>
    <row r="255" spans="9:10" x14ac:dyDescent="0.45">
      <c r="I255" s="10">
        <v>707</v>
      </c>
      <c r="J255" s="10" t="s">
        <v>208</v>
      </c>
    </row>
    <row r="256" spans="9:10" x14ac:dyDescent="0.45">
      <c r="I256" s="10">
        <v>708</v>
      </c>
      <c r="J256" s="10" t="s">
        <v>230</v>
      </c>
    </row>
    <row r="257" spans="9:10" x14ac:dyDescent="0.45">
      <c r="I257" s="10">
        <v>709</v>
      </c>
      <c r="J257" s="10" t="s">
        <v>274</v>
      </c>
    </row>
    <row r="258" spans="9:10" x14ac:dyDescent="0.45">
      <c r="I258" s="10">
        <v>710</v>
      </c>
      <c r="J258" s="11" t="s">
        <v>214</v>
      </c>
    </row>
    <row r="259" spans="9:10" x14ac:dyDescent="0.45">
      <c r="I259" s="10">
        <v>711</v>
      </c>
      <c r="J259" s="11" t="s">
        <v>214</v>
      </c>
    </row>
    <row r="260" spans="9:10" x14ac:dyDescent="0.45">
      <c r="I260" s="10">
        <v>712</v>
      </c>
      <c r="J260" s="10" t="s">
        <v>253</v>
      </c>
    </row>
    <row r="261" spans="9:10" x14ac:dyDescent="0.45">
      <c r="I261" s="10">
        <v>713</v>
      </c>
      <c r="J261" s="10" t="s">
        <v>211</v>
      </c>
    </row>
    <row r="262" spans="9:10" x14ac:dyDescent="0.45">
      <c r="I262" s="10">
        <v>714</v>
      </c>
      <c r="J262" s="10" t="s">
        <v>208</v>
      </c>
    </row>
    <row r="263" spans="9:10" x14ac:dyDescent="0.45">
      <c r="I263" s="10">
        <v>715</v>
      </c>
      <c r="J263" s="10" t="s">
        <v>242</v>
      </c>
    </row>
    <row r="264" spans="9:10" x14ac:dyDescent="0.45">
      <c r="I264" s="10">
        <v>716</v>
      </c>
      <c r="J264" s="10" t="s">
        <v>217</v>
      </c>
    </row>
    <row r="265" spans="9:10" x14ac:dyDescent="0.45">
      <c r="I265" s="10">
        <v>717</v>
      </c>
      <c r="J265" s="10" t="s">
        <v>224</v>
      </c>
    </row>
    <row r="266" spans="9:10" x14ac:dyDescent="0.45">
      <c r="I266" s="10">
        <v>718</v>
      </c>
      <c r="J266" s="10" t="s">
        <v>217</v>
      </c>
    </row>
    <row r="267" spans="9:10" x14ac:dyDescent="0.45">
      <c r="I267" s="10">
        <v>719</v>
      </c>
      <c r="J267" s="10" t="s">
        <v>246</v>
      </c>
    </row>
    <row r="268" spans="9:10" x14ac:dyDescent="0.45">
      <c r="I268" s="10">
        <v>720</v>
      </c>
      <c r="J268" s="10" t="s">
        <v>246</v>
      </c>
    </row>
    <row r="269" spans="9:10" x14ac:dyDescent="0.45">
      <c r="I269" s="10">
        <v>721</v>
      </c>
      <c r="J269" s="11" t="s">
        <v>214</v>
      </c>
    </row>
    <row r="270" spans="9:10" x14ac:dyDescent="0.45">
      <c r="I270" s="10">
        <v>724</v>
      </c>
      <c r="J270" s="10" t="s">
        <v>224</v>
      </c>
    </row>
    <row r="271" spans="9:10" x14ac:dyDescent="0.45">
      <c r="I271" s="10">
        <v>725</v>
      </c>
      <c r="J271" s="10" t="s">
        <v>273</v>
      </c>
    </row>
    <row r="272" spans="9:10" x14ac:dyDescent="0.45">
      <c r="I272" s="10">
        <v>727</v>
      </c>
      <c r="J272" s="10" t="s">
        <v>239</v>
      </c>
    </row>
    <row r="273" spans="9:10" x14ac:dyDescent="0.45">
      <c r="I273" s="10">
        <v>731</v>
      </c>
      <c r="J273" s="10" t="s">
        <v>262</v>
      </c>
    </row>
    <row r="274" spans="9:10" x14ac:dyDescent="0.45">
      <c r="I274" s="10">
        <v>732</v>
      </c>
      <c r="J274" s="10" t="s">
        <v>185</v>
      </c>
    </row>
    <row r="275" spans="9:10" x14ac:dyDescent="0.45">
      <c r="I275" s="10">
        <v>734</v>
      </c>
      <c r="J275" s="10" t="s">
        <v>237</v>
      </c>
    </row>
    <row r="276" spans="9:10" x14ac:dyDescent="0.45">
      <c r="I276" s="10">
        <v>737</v>
      </c>
      <c r="J276" s="10" t="s">
        <v>211</v>
      </c>
    </row>
    <row r="277" spans="9:10" x14ac:dyDescent="0.45">
      <c r="I277" s="10">
        <v>740</v>
      </c>
      <c r="J277" s="10" t="s">
        <v>227</v>
      </c>
    </row>
    <row r="278" spans="9:10" x14ac:dyDescent="0.45">
      <c r="I278" s="10">
        <v>743</v>
      </c>
      <c r="J278" s="10" t="s">
        <v>241</v>
      </c>
    </row>
    <row r="279" spans="9:10" x14ac:dyDescent="0.45">
      <c r="I279" s="10">
        <v>747</v>
      </c>
      <c r="J279" s="10" t="s">
        <v>208</v>
      </c>
    </row>
    <row r="280" spans="9:10" x14ac:dyDescent="0.45">
      <c r="I280" s="10">
        <v>754</v>
      </c>
      <c r="J280" s="10" t="s">
        <v>239</v>
      </c>
    </row>
    <row r="281" spans="9:10" x14ac:dyDescent="0.45">
      <c r="I281" s="10">
        <v>757</v>
      </c>
      <c r="J281" s="10" t="s">
        <v>244</v>
      </c>
    </row>
    <row r="282" spans="9:10" x14ac:dyDescent="0.45">
      <c r="I282" s="10">
        <v>758</v>
      </c>
      <c r="J282" s="11" t="s">
        <v>214</v>
      </c>
    </row>
    <row r="283" spans="9:10" x14ac:dyDescent="0.45">
      <c r="I283" s="10">
        <v>760</v>
      </c>
      <c r="J283" s="10" t="s">
        <v>208</v>
      </c>
    </row>
    <row r="284" spans="9:10" x14ac:dyDescent="0.45">
      <c r="I284" s="10">
        <v>762</v>
      </c>
      <c r="J284" s="10" t="s">
        <v>236</v>
      </c>
    </row>
    <row r="285" spans="9:10" x14ac:dyDescent="0.45">
      <c r="I285" s="10">
        <v>763</v>
      </c>
      <c r="J285" s="10" t="s">
        <v>231</v>
      </c>
    </row>
    <row r="286" spans="9:10" x14ac:dyDescent="0.45">
      <c r="I286" s="10">
        <v>764</v>
      </c>
      <c r="J286" s="10" t="s">
        <v>208</v>
      </c>
    </row>
    <row r="287" spans="9:10" x14ac:dyDescent="0.45">
      <c r="I287" s="10">
        <v>765</v>
      </c>
      <c r="J287" s="10" t="s">
        <v>232</v>
      </c>
    </row>
    <row r="288" spans="9:10" x14ac:dyDescent="0.45">
      <c r="I288" s="10">
        <v>767</v>
      </c>
      <c r="J288" s="11" t="s">
        <v>214</v>
      </c>
    </row>
    <row r="289" spans="9:10" x14ac:dyDescent="0.45">
      <c r="I289" s="10">
        <v>769</v>
      </c>
      <c r="J289" s="10" t="s">
        <v>235</v>
      </c>
    </row>
    <row r="290" spans="9:10" x14ac:dyDescent="0.45">
      <c r="I290" s="10">
        <v>770</v>
      </c>
      <c r="J290" s="10" t="s">
        <v>236</v>
      </c>
    </row>
    <row r="291" spans="9:10" x14ac:dyDescent="0.45">
      <c r="I291" s="10">
        <v>772</v>
      </c>
      <c r="J291" s="10" t="s">
        <v>239</v>
      </c>
    </row>
    <row r="292" spans="9:10" x14ac:dyDescent="0.45">
      <c r="I292" s="10">
        <v>773</v>
      </c>
      <c r="J292" s="10" t="s">
        <v>230</v>
      </c>
    </row>
    <row r="293" spans="9:10" x14ac:dyDescent="0.45">
      <c r="I293" s="10">
        <v>774</v>
      </c>
      <c r="J293" s="10" t="s">
        <v>254</v>
      </c>
    </row>
    <row r="294" spans="9:10" x14ac:dyDescent="0.45">
      <c r="I294" s="10">
        <v>775</v>
      </c>
      <c r="J294" s="10" t="s">
        <v>273</v>
      </c>
    </row>
    <row r="295" spans="9:10" x14ac:dyDescent="0.45">
      <c r="I295" s="10">
        <v>778</v>
      </c>
      <c r="J295" s="10" t="s">
        <v>238</v>
      </c>
    </row>
    <row r="296" spans="9:10" x14ac:dyDescent="0.45">
      <c r="I296" s="10">
        <v>779</v>
      </c>
      <c r="J296" s="10" t="s">
        <v>230</v>
      </c>
    </row>
    <row r="297" spans="9:10" x14ac:dyDescent="0.45">
      <c r="I297" s="10">
        <v>780</v>
      </c>
      <c r="J297" s="10" t="s">
        <v>258</v>
      </c>
    </row>
    <row r="298" spans="9:10" x14ac:dyDescent="0.45">
      <c r="I298" s="10">
        <v>781</v>
      </c>
      <c r="J298" s="10" t="s">
        <v>254</v>
      </c>
    </row>
    <row r="299" spans="9:10" x14ac:dyDescent="0.45">
      <c r="I299" s="10">
        <v>782</v>
      </c>
      <c r="J299" s="10" t="s">
        <v>275</v>
      </c>
    </row>
    <row r="300" spans="9:10" x14ac:dyDescent="0.45">
      <c r="I300" s="10">
        <v>784</v>
      </c>
      <c r="J300" s="11" t="s">
        <v>214</v>
      </c>
    </row>
    <row r="301" spans="9:10" x14ac:dyDescent="0.45">
      <c r="I301" s="10">
        <v>785</v>
      </c>
      <c r="J301" s="10" t="s">
        <v>252</v>
      </c>
    </row>
    <row r="302" spans="9:10" x14ac:dyDescent="0.45">
      <c r="I302" s="10">
        <v>786</v>
      </c>
      <c r="J302" s="10" t="s">
        <v>239</v>
      </c>
    </row>
    <row r="303" spans="9:10" x14ac:dyDescent="0.45">
      <c r="I303" s="10">
        <v>787</v>
      </c>
      <c r="J303" s="10" t="s">
        <v>276</v>
      </c>
    </row>
    <row r="304" spans="9:10" x14ac:dyDescent="0.45">
      <c r="I304" s="10">
        <v>800</v>
      </c>
      <c r="J304" s="11" t="s">
        <v>214</v>
      </c>
    </row>
    <row r="305" spans="9:10" x14ac:dyDescent="0.45">
      <c r="I305" s="10">
        <v>801</v>
      </c>
      <c r="J305" s="10" t="s">
        <v>256</v>
      </c>
    </row>
    <row r="306" spans="9:10" x14ac:dyDescent="0.45">
      <c r="I306" s="10">
        <v>802</v>
      </c>
      <c r="J306" s="10" t="s">
        <v>277</v>
      </c>
    </row>
    <row r="307" spans="9:10" x14ac:dyDescent="0.45">
      <c r="I307" s="10">
        <v>803</v>
      </c>
      <c r="J307" s="10" t="s">
        <v>278</v>
      </c>
    </row>
    <row r="308" spans="9:10" x14ac:dyDescent="0.45">
      <c r="I308" s="10">
        <v>804</v>
      </c>
      <c r="J308" s="10" t="s">
        <v>244</v>
      </c>
    </row>
    <row r="309" spans="9:10" x14ac:dyDescent="0.45">
      <c r="I309" s="10">
        <v>805</v>
      </c>
      <c r="J309" s="10" t="s">
        <v>208</v>
      </c>
    </row>
    <row r="310" spans="9:10" x14ac:dyDescent="0.45">
      <c r="I310" s="10">
        <v>806</v>
      </c>
      <c r="J310" s="10" t="s">
        <v>211</v>
      </c>
    </row>
    <row r="311" spans="9:10" x14ac:dyDescent="0.45">
      <c r="I311" s="10">
        <v>807</v>
      </c>
      <c r="J311" s="10" t="s">
        <v>234</v>
      </c>
    </row>
    <row r="312" spans="9:10" x14ac:dyDescent="0.45">
      <c r="I312" s="10">
        <v>808</v>
      </c>
      <c r="J312" s="10" t="s">
        <v>279</v>
      </c>
    </row>
    <row r="313" spans="9:10" x14ac:dyDescent="0.45">
      <c r="I313" s="10">
        <v>809</v>
      </c>
      <c r="J313" s="11" t="s">
        <v>214</v>
      </c>
    </row>
    <row r="314" spans="9:10" x14ac:dyDescent="0.45">
      <c r="I314" s="10">
        <v>810</v>
      </c>
      <c r="J314" s="10" t="s">
        <v>237</v>
      </c>
    </row>
    <row r="315" spans="9:10" x14ac:dyDescent="0.45">
      <c r="I315" s="10">
        <v>811</v>
      </c>
      <c r="J315" s="11" t="s">
        <v>214</v>
      </c>
    </row>
    <row r="316" spans="9:10" x14ac:dyDescent="0.45">
      <c r="I316" s="10">
        <v>812</v>
      </c>
      <c r="J316" s="10" t="s">
        <v>232</v>
      </c>
    </row>
    <row r="317" spans="9:10" x14ac:dyDescent="0.45">
      <c r="I317" s="10">
        <v>813</v>
      </c>
      <c r="J317" s="10" t="s">
        <v>239</v>
      </c>
    </row>
    <row r="318" spans="9:10" x14ac:dyDescent="0.45">
      <c r="I318" s="10">
        <v>814</v>
      </c>
      <c r="J318" s="10" t="s">
        <v>224</v>
      </c>
    </row>
    <row r="319" spans="9:10" x14ac:dyDescent="0.45">
      <c r="I319" s="10">
        <v>815</v>
      </c>
      <c r="J319" s="10" t="s">
        <v>230</v>
      </c>
    </row>
    <row r="320" spans="9:10" x14ac:dyDescent="0.45">
      <c r="I320" s="10">
        <v>816</v>
      </c>
      <c r="J320" s="10" t="s">
        <v>251</v>
      </c>
    </row>
    <row r="321" spans="9:10" x14ac:dyDescent="0.45">
      <c r="I321" s="10">
        <v>817</v>
      </c>
      <c r="J321" s="10" t="s">
        <v>211</v>
      </c>
    </row>
    <row r="322" spans="9:10" x14ac:dyDescent="0.45">
      <c r="I322" s="10">
        <v>818</v>
      </c>
      <c r="J322" s="10" t="s">
        <v>208</v>
      </c>
    </row>
    <row r="323" spans="9:10" x14ac:dyDescent="0.45">
      <c r="I323" s="10">
        <v>819</v>
      </c>
      <c r="J323" s="10" t="s">
        <v>261</v>
      </c>
    </row>
    <row r="324" spans="9:10" x14ac:dyDescent="0.45">
      <c r="I324" s="10">
        <v>822</v>
      </c>
      <c r="J324" s="11" t="s">
        <v>214</v>
      </c>
    </row>
    <row r="325" spans="9:10" x14ac:dyDescent="0.45">
      <c r="I325" s="10">
        <v>825</v>
      </c>
      <c r="J325" s="10" t="s">
        <v>258</v>
      </c>
    </row>
    <row r="326" spans="9:10" x14ac:dyDescent="0.45">
      <c r="I326" s="10">
        <v>828</v>
      </c>
      <c r="J326" s="10" t="s">
        <v>241</v>
      </c>
    </row>
    <row r="327" spans="9:10" x14ac:dyDescent="0.45">
      <c r="I327" s="10">
        <v>829</v>
      </c>
      <c r="J327" s="11" t="s">
        <v>214</v>
      </c>
    </row>
    <row r="328" spans="9:10" x14ac:dyDescent="0.45">
      <c r="I328" s="10">
        <v>830</v>
      </c>
      <c r="J328" s="10" t="s">
        <v>211</v>
      </c>
    </row>
    <row r="329" spans="9:10" x14ac:dyDescent="0.45">
      <c r="I329" s="10">
        <v>831</v>
      </c>
      <c r="J329" s="10" t="s">
        <v>208</v>
      </c>
    </row>
    <row r="330" spans="9:10" x14ac:dyDescent="0.45">
      <c r="I330" s="10">
        <v>832</v>
      </c>
      <c r="J330" s="10" t="s">
        <v>211</v>
      </c>
    </row>
    <row r="331" spans="9:10" x14ac:dyDescent="0.45">
      <c r="I331" s="10">
        <v>833</v>
      </c>
      <c r="J331" s="11" t="s">
        <v>214</v>
      </c>
    </row>
    <row r="332" spans="9:10" x14ac:dyDescent="0.45">
      <c r="I332" s="10">
        <v>835</v>
      </c>
      <c r="J332" s="10" t="s">
        <v>224</v>
      </c>
    </row>
    <row r="333" spans="9:10" x14ac:dyDescent="0.45">
      <c r="I333" s="10">
        <v>843</v>
      </c>
      <c r="J333" s="10" t="s">
        <v>278</v>
      </c>
    </row>
    <row r="334" spans="9:10" x14ac:dyDescent="0.45">
      <c r="I334" s="10">
        <v>844</v>
      </c>
      <c r="J334" s="11" t="s">
        <v>214</v>
      </c>
    </row>
    <row r="335" spans="9:10" x14ac:dyDescent="0.45">
      <c r="I335" s="10">
        <v>845</v>
      </c>
      <c r="J335" s="10" t="s">
        <v>217</v>
      </c>
    </row>
    <row r="336" spans="9:10" x14ac:dyDescent="0.45">
      <c r="I336" s="10">
        <v>847</v>
      </c>
      <c r="J336" s="10" t="s">
        <v>230</v>
      </c>
    </row>
    <row r="337" spans="9:10" x14ac:dyDescent="0.45">
      <c r="I337" s="10">
        <v>848</v>
      </c>
      <c r="J337" s="10" t="s">
        <v>185</v>
      </c>
    </row>
    <row r="338" spans="9:10" x14ac:dyDescent="0.45">
      <c r="I338" s="10">
        <v>849</v>
      </c>
      <c r="J338" s="11" t="s">
        <v>214</v>
      </c>
    </row>
    <row r="339" spans="9:10" x14ac:dyDescent="0.45">
      <c r="I339" s="10">
        <v>850</v>
      </c>
      <c r="J339" s="10" t="s">
        <v>239</v>
      </c>
    </row>
    <row r="340" spans="9:10" x14ac:dyDescent="0.45">
      <c r="I340" s="10">
        <v>855</v>
      </c>
      <c r="J340" s="11" t="s">
        <v>214</v>
      </c>
    </row>
    <row r="341" spans="9:10" x14ac:dyDescent="0.45">
      <c r="I341" s="10">
        <v>856</v>
      </c>
      <c r="J341" s="10" t="s">
        <v>185</v>
      </c>
    </row>
    <row r="342" spans="9:10" x14ac:dyDescent="0.45">
      <c r="I342" s="10">
        <v>857</v>
      </c>
      <c r="J342" s="10" t="s">
        <v>254</v>
      </c>
    </row>
    <row r="343" spans="9:10" x14ac:dyDescent="0.45">
      <c r="I343" s="10">
        <v>858</v>
      </c>
      <c r="J343" s="10" t="s">
        <v>208</v>
      </c>
    </row>
    <row r="344" spans="9:10" x14ac:dyDescent="0.45">
      <c r="I344" s="10">
        <v>859</v>
      </c>
      <c r="J344" s="10" t="s">
        <v>243</v>
      </c>
    </row>
    <row r="345" spans="9:10" x14ac:dyDescent="0.45">
      <c r="I345" s="10">
        <v>860</v>
      </c>
      <c r="J345" s="10" t="s">
        <v>191</v>
      </c>
    </row>
    <row r="346" spans="9:10" x14ac:dyDescent="0.45">
      <c r="I346" s="10">
        <v>862</v>
      </c>
      <c r="J346" s="10" t="s">
        <v>185</v>
      </c>
    </row>
    <row r="347" spans="9:10" x14ac:dyDescent="0.45">
      <c r="I347" s="10">
        <v>863</v>
      </c>
      <c r="J347" s="10" t="s">
        <v>239</v>
      </c>
    </row>
    <row r="348" spans="9:10" x14ac:dyDescent="0.45">
      <c r="I348" s="10">
        <v>864</v>
      </c>
      <c r="J348" s="10" t="s">
        <v>278</v>
      </c>
    </row>
    <row r="349" spans="9:10" x14ac:dyDescent="0.45">
      <c r="I349" s="10">
        <v>865</v>
      </c>
      <c r="J349" s="10" t="s">
        <v>262</v>
      </c>
    </row>
    <row r="350" spans="9:10" x14ac:dyDescent="0.45">
      <c r="I350" s="10">
        <v>866</v>
      </c>
      <c r="J350" s="11" t="s">
        <v>214</v>
      </c>
    </row>
    <row r="351" spans="9:10" x14ac:dyDescent="0.45">
      <c r="I351" s="10">
        <v>867</v>
      </c>
      <c r="J351" s="10" t="s">
        <v>280</v>
      </c>
    </row>
    <row r="352" spans="9:10" x14ac:dyDescent="0.45">
      <c r="I352" s="10">
        <v>868</v>
      </c>
      <c r="J352" s="11" t="s">
        <v>214</v>
      </c>
    </row>
    <row r="353" spans="9:10" x14ac:dyDescent="0.45">
      <c r="I353" s="10">
        <v>869</v>
      </c>
      <c r="J353" s="11" t="s">
        <v>214</v>
      </c>
    </row>
    <row r="354" spans="9:10" x14ac:dyDescent="0.45">
      <c r="I354" s="10">
        <v>870</v>
      </c>
      <c r="J354" s="10" t="s">
        <v>264</v>
      </c>
    </row>
    <row r="355" spans="9:10" x14ac:dyDescent="0.45">
      <c r="I355" s="10">
        <v>872</v>
      </c>
      <c r="J355" s="10" t="s">
        <v>230</v>
      </c>
    </row>
    <row r="356" spans="9:10" x14ac:dyDescent="0.45">
      <c r="I356" s="10">
        <v>873</v>
      </c>
      <c r="J356" s="10" t="s">
        <v>261</v>
      </c>
    </row>
    <row r="357" spans="9:10" x14ac:dyDescent="0.45">
      <c r="I357" s="10">
        <v>876</v>
      </c>
      <c r="J357" s="11" t="s">
        <v>214</v>
      </c>
    </row>
    <row r="358" spans="9:10" x14ac:dyDescent="0.45">
      <c r="I358" s="10">
        <v>877</v>
      </c>
      <c r="J358" s="11" t="s">
        <v>214</v>
      </c>
    </row>
    <row r="359" spans="9:10" x14ac:dyDescent="0.45">
      <c r="I359" s="10">
        <v>878</v>
      </c>
      <c r="J359" s="10" t="s">
        <v>224</v>
      </c>
    </row>
    <row r="360" spans="9:10" x14ac:dyDescent="0.45">
      <c r="I360" s="10">
        <v>880</v>
      </c>
      <c r="J360" s="11" t="s">
        <v>214</v>
      </c>
    </row>
    <row r="361" spans="9:10" x14ac:dyDescent="0.45">
      <c r="I361" s="10">
        <v>881</v>
      </c>
      <c r="J361" s="11" t="s">
        <v>214</v>
      </c>
    </row>
    <row r="362" spans="9:10" x14ac:dyDescent="0.45">
      <c r="I362" s="10">
        <v>882</v>
      </c>
      <c r="J362" s="11" t="s">
        <v>214</v>
      </c>
    </row>
    <row r="363" spans="9:10" x14ac:dyDescent="0.45">
      <c r="I363" s="10">
        <v>888</v>
      </c>
      <c r="J363" s="11" t="s">
        <v>214</v>
      </c>
    </row>
    <row r="364" spans="9:10" x14ac:dyDescent="0.45">
      <c r="I364" s="10">
        <v>898</v>
      </c>
      <c r="J364" s="11" t="s">
        <v>214</v>
      </c>
    </row>
    <row r="365" spans="9:10" x14ac:dyDescent="0.45">
      <c r="I365" s="10">
        <v>900</v>
      </c>
      <c r="J365" s="11" t="s">
        <v>214</v>
      </c>
    </row>
    <row r="366" spans="9:10" x14ac:dyDescent="0.45">
      <c r="I366" s="10">
        <v>901</v>
      </c>
      <c r="J366" s="10" t="s">
        <v>262</v>
      </c>
    </row>
    <row r="367" spans="9:10" x14ac:dyDescent="0.45">
      <c r="I367" s="10">
        <v>902</v>
      </c>
      <c r="J367" s="10" t="s">
        <v>275</v>
      </c>
    </row>
    <row r="368" spans="9:10" x14ac:dyDescent="0.45">
      <c r="I368" s="10">
        <v>903</v>
      </c>
      <c r="J368" s="10" t="s">
        <v>211</v>
      </c>
    </row>
    <row r="369" spans="9:10" x14ac:dyDescent="0.45">
      <c r="I369" s="10">
        <v>904</v>
      </c>
      <c r="J369" s="10" t="s">
        <v>239</v>
      </c>
    </row>
    <row r="370" spans="9:10" x14ac:dyDescent="0.45">
      <c r="I370" s="10">
        <v>905</v>
      </c>
      <c r="J370" s="10" t="s">
        <v>234</v>
      </c>
    </row>
    <row r="371" spans="9:10" x14ac:dyDescent="0.45">
      <c r="I371" s="10">
        <v>906</v>
      </c>
      <c r="J371" s="10" t="s">
        <v>237</v>
      </c>
    </row>
    <row r="372" spans="9:10" x14ac:dyDescent="0.45">
      <c r="I372" s="10">
        <v>907</v>
      </c>
      <c r="J372" s="10" t="s">
        <v>281</v>
      </c>
    </row>
    <row r="373" spans="9:10" x14ac:dyDescent="0.45">
      <c r="I373" s="10">
        <v>908</v>
      </c>
      <c r="J373" s="10" t="s">
        <v>185</v>
      </c>
    </row>
    <row r="374" spans="9:10" x14ac:dyDescent="0.45">
      <c r="I374" s="10">
        <v>909</v>
      </c>
      <c r="J374" s="10" t="s">
        <v>208</v>
      </c>
    </row>
    <row r="375" spans="9:10" x14ac:dyDescent="0.45">
      <c r="I375" s="10">
        <v>910</v>
      </c>
      <c r="J375" s="10" t="s">
        <v>241</v>
      </c>
    </row>
    <row r="376" spans="9:10" x14ac:dyDescent="0.45">
      <c r="I376" s="10">
        <v>911</v>
      </c>
      <c r="J376" s="11" t="s">
        <v>214</v>
      </c>
    </row>
    <row r="377" spans="9:10" x14ac:dyDescent="0.45">
      <c r="I377" s="10">
        <v>912</v>
      </c>
      <c r="J377" s="10" t="s">
        <v>236</v>
      </c>
    </row>
    <row r="378" spans="9:10" x14ac:dyDescent="0.45">
      <c r="I378" s="10">
        <v>913</v>
      </c>
      <c r="J378" s="10" t="s">
        <v>252</v>
      </c>
    </row>
    <row r="379" spans="9:10" x14ac:dyDescent="0.45">
      <c r="I379" s="10">
        <v>914</v>
      </c>
      <c r="J379" s="10" t="s">
        <v>217</v>
      </c>
    </row>
    <row r="380" spans="9:10" x14ac:dyDescent="0.45">
      <c r="I380" s="10">
        <v>915</v>
      </c>
      <c r="J380" s="10" t="s">
        <v>211</v>
      </c>
    </row>
    <row r="381" spans="9:10" x14ac:dyDescent="0.45">
      <c r="I381" s="10">
        <v>916</v>
      </c>
      <c r="J381" s="10" t="s">
        <v>208</v>
      </c>
    </row>
    <row r="382" spans="9:10" x14ac:dyDescent="0.45">
      <c r="I382" s="10">
        <v>917</v>
      </c>
      <c r="J382" s="10" t="s">
        <v>217</v>
      </c>
    </row>
    <row r="383" spans="9:10" x14ac:dyDescent="0.45">
      <c r="I383" s="10">
        <v>918</v>
      </c>
      <c r="J383" s="10" t="s">
        <v>259</v>
      </c>
    </row>
    <row r="384" spans="9:10" x14ac:dyDescent="0.45">
      <c r="I384" s="10">
        <v>919</v>
      </c>
      <c r="J384" s="10" t="s">
        <v>241</v>
      </c>
    </row>
    <row r="385" spans="9:10" x14ac:dyDescent="0.45">
      <c r="I385" s="10">
        <v>920</v>
      </c>
      <c r="J385" s="10" t="s">
        <v>242</v>
      </c>
    </row>
    <row r="386" spans="9:10" x14ac:dyDescent="0.45">
      <c r="I386" s="10">
        <v>925</v>
      </c>
      <c r="J386" s="10" t="s">
        <v>208</v>
      </c>
    </row>
    <row r="387" spans="9:10" x14ac:dyDescent="0.45">
      <c r="I387" s="10">
        <v>927</v>
      </c>
      <c r="J387" s="10" t="s">
        <v>239</v>
      </c>
    </row>
    <row r="388" spans="9:10" x14ac:dyDescent="0.45">
      <c r="I388" s="10">
        <v>928</v>
      </c>
      <c r="J388" s="10" t="s">
        <v>265</v>
      </c>
    </row>
    <row r="389" spans="9:10" x14ac:dyDescent="0.45">
      <c r="I389" s="10">
        <v>929</v>
      </c>
      <c r="J389" s="10" t="s">
        <v>217</v>
      </c>
    </row>
    <row r="390" spans="9:10" x14ac:dyDescent="0.45">
      <c r="I390" s="10">
        <v>931</v>
      </c>
      <c r="J390" s="10" t="s">
        <v>262</v>
      </c>
    </row>
    <row r="391" spans="9:10" x14ac:dyDescent="0.45">
      <c r="I391" s="10">
        <v>935</v>
      </c>
      <c r="J391" s="10" t="s">
        <v>208</v>
      </c>
    </row>
    <row r="392" spans="9:10" x14ac:dyDescent="0.45">
      <c r="I392" s="10">
        <v>936</v>
      </c>
      <c r="J392" s="10" t="s">
        <v>211</v>
      </c>
    </row>
    <row r="393" spans="9:10" x14ac:dyDescent="0.45">
      <c r="I393" s="10">
        <v>937</v>
      </c>
      <c r="J393" s="10" t="s">
        <v>227</v>
      </c>
    </row>
    <row r="394" spans="9:10" x14ac:dyDescent="0.45">
      <c r="I394" s="10">
        <v>939</v>
      </c>
      <c r="J394" s="10" t="s">
        <v>276</v>
      </c>
    </row>
    <row r="395" spans="9:10" x14ac:dyDescent="0.45">
      <c r="I395" s="10">
        <v>940</v>
      </c>
      <c r="J395" s="10" t="s">
        <v>211</v>
      </c>
    </row>
    <row r="396" spans="9:10" x14ac:dyDescent="0.45">
      <c r="I396" s="10">
        <v>941</v>
      </c>
      <c r="J396" s="10" t="s">
        <v>239</v>
      </c>
    </row>
    <row r="397" spans="9:10" x14ac:dyDescent="0.45">
      <c r="I397" s="10">
        <v>947</v>
      </c>
      <c r="J397" s="10" t="s">
        <v>237</v>
      </c>
    </row>
    <row r="398" spans="9:10" x14ac:dyDescent="0.45">
      <c r="I398" s="10">
        <v>949</v>
      </c>
      <c r="J398" s="10" t="s">
        <v>208</v>
      </c>
    </row>
    <row r="399" spans="9:10" x14ac:dyDescent="0.45">
      <c r="I399" s="10">
        <v>951</v>
      </c>
      <c r="J399" s="10" t="s">
        <v>208</v>
      </c>
    </row>
    <row r="400" spans="9:10" x14ac:dyDescent="0.45">
      <c r="I400" s="10">
        <v>952</v>
      </c>
      <c r="J400" s="10" t="s">
        <v>231</v>
      </c>
    </row>
    <row r="401" spans="9:10" x14ac:dyDescent="0.45">
      <c r="I401" s="10">
        <v>954</v>
      </c>
      <c r="J401" s="10" t="s">
        <v>239</v>
      </c>
    </row>
    <row r="402" spans="9:10" x14ac:dyDescent="0.45">
      <c r="I402" s="10">
        <v>956</v>
      </c>
      <c r="J402" s="10" t="s">
        <v>211</v>
      </c>
    </row>
    <row r="403" spans="9:10" x14ac:dyDescent="0.45">
      <c r="I403" s="10">
        <v>957</v>
      </c>
      <c r="J403" s="10" t="s">
        <v>266</v>
      </c>
    </row>
    <row r="404" spans="9:10" x14ac:dyDescent="0.45">
      <c r="I404" s="10">
        <v>959</v>
      </c>
      <c r="J404" s="10" t="s">
        <v>191</v>
      </c>
    </row>
    <row r="405" spans="9:10" x14ac:dyDescent="0.45">
      <c r="I405" s="10">
        <v>970</v>
      </c>
      <c r="J405" s="10" t="s">
        <v>246</v>
      </c>
    </row>
    <row r="406" spans="9:10" x14ac:dyDescent="0.45">
      <c r="I406" s="10">
        <v>971</v>
      </c>
      <c r="J406" s="10" t="s">
        <v>263</v>
      </c>
    </row>
    <row r="407" spans="9:10" x14ac:dyDescent="0.45">
      <c r="I407" s="10">
        <v>972</v>
      </c>
      <c r="J407" s="10" t="s">
        <v>211</v>
      </c>
    </row>
    <row r="408" spans="9:10" x14ac:dyDescent="0.45">
      <c r="I408" s="10">
        <v>973</v>
      </c>
      <c r="J408" s="10" t="s">
        <v>185</v>
      </c>
    </row>
    <row r="409" spans="9:10" x14ac:dyDescent="0.45">
      <c r="I409" s="10">
        <v>975</v>
      </c>
      <c r="J409" s="10" t="s">
        <v>251</v>
      </c>
    </row>
    <row r="410" spans="9:10" x14ac:dyDescent="0.45">
      <c r="I410" s="10">
        <v>976</v>
      </c>
      <c r="J410" s="11" t="s">
        <v>214</v>
      </c>
    </row>
    <row r="411" spans="9:10" x14ac:dyDescent="0.45">
      <c r="I411" s="10">
        <v>978</v>
      </c>
      <c r="J411" s="10" t="s">
        <v>254</v>
      </c>
    </row>
    <row r="412" spans="9:10" x14ac:dyDescent="0.45">
      <c r="I412" s="10">
        <v>979</v>
      </c>
      <c r="J412" s="10" t="s">
        <v>211</v>
      </c>
    </row>
    <row r="413" spans="9:10" x14ac:dyDescent="0.45">
      <c r="I413" s="10">
        <v>980</v>
      </c>
      <c r="J413" s="10" t="s">
        <v>241</v>
      </c>
    </row>
    <row r="414" spans="9:10" x14ac:dyDescent="0.45">
      <c r="I414" s="10">
        <v>984</v>
      </c>
      <c r="J414" s="10" t="s">
        <v>241</v>
      </c>
    </row>
    <row r="415" spans="9:10" x14ac:dyDescent="0.45">
      <c r="I415" s="10">
        <v>985</v>
      </c>
      <c r="J415" s="10" t="s">
        <v>233</v>
      </c>
    </row>
    <row r="416" spans="9:10" x14ac:dyDescent="0.45">
      <c r="I416" s="10">
        <v>989</v>
      </c>
      <c r="J416" s="10" t="s">
        <v>237</v>
      </c>
    </row>
    <row r="417" spans="9:10" x14ac:dyDescent="0.45">
      <c r="I417" s="10">
        <v>999</v>
      </c>
      <c r="J417" s="11" t="s">
        <v>214</v>
      </c>
    </row>
  </sheetData>
  <mergeCells count="3">
    <mergeCell ref="B1:B3"/>
    <mergeCell ref="A1:A3"/>
    <mergeCell ref="F1:F3"/>
  </mergeCells>
  <dataValidations count="2">
    <dataValidation type="textLength" operator="equal" allowBlank="1" showInputMessage="1" showErrorMessage="1" errorTitle="Error" error="Input a ten digit phone number." sqref="C35:C1048576 C1:C24" xr:uid="{5F075846-6DC3-47D0-82DA-49E068ADEC7D}">
      <formula1>10</formula1>
    </dataValidation>
    <dataValidation type="list" allowBlank="1" showInputMessage="1" showErrorMessage="1" sqref="M11" xr:uid="{0BAE274E-4A62-4413-9E19-E7AF9A6D75D6}">
      <formula1>$A$5:$A$22</formula1>
    </dataValidation>
  </dataValidations>
  <pageMargins left="0.7" right="0.7" top="0.75" bottom="0.75" header="0.3" footer="0.3"/>
  <pageSetup orientation="portrait" r:id="rId1"/>
  <ignoredErrors>
    <ignoredError sqref="M14" formula="1"/>
    <ignoredError sqref="C4" listDataValidation="1"/>
  </ignoredErrors>
  <drawing r:id="rId2"/>
  <legacyDrawing r:id="rId3"/>
  <picture r:id="rId4"/>
  <controls>
    <mc:AlternateContent xmlns:mc="http://schemas.openxmlformats.org/markup-compatibility/2006">
      <mc:Choice Requires="x14">
        <control shapeId="10241" r:id="rId5" name="CommandButton1">
          <controlPr defaultSize="0" autoLine="0" autoPict="0" r:id="rId6">
            <anchor moveWithCells="1">
              <from>
                <xdr:col>12</xdr:col>
                <xdr:colOff>19050</xdr:colOff>
                <xdr:row>5</xdr:row>
                <xdr:rowOff>19050</xdr:rowOff>
              </from>
              <to>
                <xdr:col>13</xdr:col>
                <xdr:colOff>9525</xdr:colOff>
                <xdr:row>9</xdr:row>
                <xdr:rowOff>19050</xdr:rowOff>
              </to>
            </anchor>
          </controlPr>
        </control>
      </mc:Choice>
      <mc:Fallback>
        <control shapeId="10241" r:id="rId5" name="CommandButton1"/>
      </mc:Fallback>
    </mc:AlternateContent>
  </controls>
  <tableParts count="1">
    <tablePart r:id="rId7"/>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14AF4-3E63-4136-85AF-4C22D42D02D0}">
  <sheetPr codeName="Sheet6"/>
  <dimension ref="A1:N18"/>
  <sheetViews>
    <sheetView zoomScale="67" zoomScaleNormal="80" workbookViewId="0">
      <selection activeCell="K8" sqref="K8"/>
    </sheetView>
  </sheetViews>
  <sheetFormatPr defaultColWidth="8.86328125" defaultRowHeight="14.25" x14ac:dyDescent="0.45"/>
  <cols>
    <col min="1" max="1" width="23.265625" customWidth="1"/>
    <col min="2" max="2" width="27" bestFit="1" customWidth="1"/>
    <col min="3" max="3" width="17.3984375" customWidth="1"/>
    <col min="4" max="4" width="17.59765625" customWidth="1"/>
    <col min="5" max="5" width="27" customWidth="1"/>
    <col min="6" max="6" width="16" style="4" bestFit="1" customWidth="1"/>
    <col min="7" max="7" width="15.73046875" style="3" customWidth="1"/>
    <col min="8" max="8" width="17" customWidth="1"/>
    <col min="9" max="9" width="20" customWidth="1"/>
    <col min="10" max="10" width="21.59765625" style="5" customWidth="1"/>
    <col min="11" max="11" width="24.1328125" customWidth="1"/>
    <col min="12" max="12" width="8.86328125" customWidth="1"/>
    <col min="13" max="13" width="19.59765625" customWidth="1"/>
    <col min="14" max="14" width="27.265625" customWidth="1"/>
  </cols>
  <sheetData>
    <row r="1" spans="1:14" x14ac:dyDescent="0.45">
      <c r="A1" s="174"/>
      <c r="B1" s="226" t="s">
        <v>282</v>
      </c>
      <c r="C1" s="4"/>
      <c r="D1" s="6"/>
      <c r="F1" s="236"/>
    </row>
    <row r="2" spans="1:14" x14ac:dyDescent="0.45">
      <c r="A2" s="174"/>
      <c r="B2" s="226"/>
      <c r="C2" s="13"/>
      <c r="D2" s="6"/>
      <c r="F2" s="236"/>
    </row>
    <row r="3" spans="1:14" x14ac:dyDescent="0.45">
      <c r="A3" s="174"/>
      <c r="B3" s="226"/>
      <c r="C3" s="4"/>
      <c r="D3" s="6"/>
      <c r="F3" s="237"/>
    </row>
    <row r="4" spans="1:14" x14ac:dyDescent="0.45">
      <c r="A4" s="141" t="s">
        <v>283</v>
      </c>
      <c r="B4" s="142" t="s">
        <v>343</v>
      </c>
      <c r="C4" s="142" t="s">
        <v>285</v>
      </c>
      <c r="D4" s="142" t="s">
        <v>286</v>
      </c>
      <c r="E4" s="142" t="s">
        <v>30</v>
      </c>
      <c r="F4" s="146" t="s">
        <v>31</v>
      </c>
      <c r="G4" s="152" t="s">
        <v>32</v>
      </c>
      <c r="H4" s="142" t="s">
        <v>287</v>
      </c>
      <c r="I4" s="142" t="s">
        <v>288</v>
      </c>
      <c r="J4" s="153" t="s">
        <v>289</v>
      </c>
      <c r="K4" s="143" t="s">
        <v>290</v>
      </c>
    </row>
    <row r="5" spans="1:14" x14ac:dyDescent="0.45">
      <c r="A5" s="133">
        <v>241934</v>
      </c>
      <c r="B5" s="58" t="s">
        <v>291</v>
      </c>
      <c r="C5" s="58" t="str">
        <f t="shared" ref="C5:C10" si="0">LEFT(B5,SEARCH(" ",B5)-1)</f>
        <v>Jason</v>
      </c>
      <c r="D5" s="58" t="str">
        <f t="shared" ref="D5:D10" si="1">MID(B5,SEARCH(" ", B5)+1,15)</f>
        <v>Johnson</v>
      </c>
      <c r="E5" s="58" t="str">
        <f t="shared" ref="E5:E10" si="2">CONCATENATE(C5, ".", D5, "@gmail.com")</f>
        <v>Jason.Johnson@gmail.com</v>
      </c>
      <c r="F5" s="109">
        <v>8313468901</v>
      </c>
      <c r="G5" s="80">
        <v>33442</v>
      </c>
      <c r="H5" s="58" t="str">
        <f t="shared" ref="H5:H10" ca="1" si="3">IF(AND(MONTH(G5) = MONTH(TODAY()), DAY(G5) = DAY(TODAY())), "Happy Birthday!", "Not birthday.")</f>
        <v>Not birthday.</v>
      </c>
      <c r="I5" s="80">
        <v>43702</v>
      </c>
      <c r="J5" s="111">
        <f t="shared" ref="J5:J10" ca="1" si="4">(TODAY()-I5)/365</f>
        <v>1.8136986301369864</v>
      </c>
      <c r="K5" s="149">
        <f t="shared" ref="K5:K10" si="5">DATE(YEAR(G5)+60, MONTH(G5)+1, DAY(G5))</f>
        <v>55388</v>
      </c>
    </row>
    <row r="6" spans="1:14" x14ac:dyDescent="0.45">
      <c r="A6" s="133">
        <v>241243</v>
      </c>
      <c r="B6" s="58" t="s">
        <v>292</v>
      </c>
      <c r="C6" s="58" t="str">
        <f t="shared" si="0"/>
        <v>Teresa</v>
      </c>
      <c r="D6" s="58" t="str">
        <f t="shared" si="1"/>
        <v>Flores</v>
      </c>
      <c r="E6" s="58" t="str">
        <f t="shared" si="2"/>
        <v>Teresa.Flores@gmail.com</v>
      </c>
      <c r="F6" s="109">
        <v>8319865671</v>
      </c>
      <c r="G6" s="80">
        <v>28717</v>
      </c>
      <c r="H6" s="58" t="str">
        <f t="shared" ca="1" si="3"/>
        <v>Not birthday.</v>
      </c>
      <c r="I6" s="80">
        <v>42042</v>
      </c>
      <c r="J6" s="111">
        <f t="shared" ca="1" si="4"/>
        <v>6.3616438356164382</v>
      </c>
      <c r="K6" s="149">
        <f t="shared" si="5"/>
        <v>50663</v>
      </c>
    </row>
    <row r="7" spans="1:14" x14ac:dyDescent="0.45">
      <c r="A7" s="133">
        <v>653456</v>
      </c>
      <c r="B7" s="58" t="s">
        <v>293</v>
      </c>
      <c r="C7" s="58" t="str">
        <f t="shared" si="0"/>
        <v>Samantha</v>
      </c>
      <c r="D7" s="58" t="str">
        <f t="shared" si="1"/>
        <v>Rose</v>
      </c>
      <c r="E7" s="58" t="str">
        <f t="shared" si="2"/>
        <v>Samantha.Rose@gmail.com</v>
      </c>
      <c r="F7" s="109">
        <v>8313848345</v>
      </c>
      <c r="G7" s="80">
        <v>35701</v>
      </c>
      <c r="H7" s="58" t="str">
        <f t="shared" ca="1" si="3"/>
        <v>Not birthday.</v>
      </c>
      <c r="I7" s="80">
        <v>43554</v>
      </c>
      <c r="J7" s="111">
        <f t="shared" ca="1" si="4"/>
        <v>2.2191780821917808</v>
      </c>
      <c r="K7" s="149">
        <f t="shared" si="5"/>
        <v>57646</v>
      </c>
    </row>
    <row r="8" spans="1:14" x14ac:dyDescent="0.45">
      <c r="A8" s="133">
        <v>123424</v>
      </c>
      <c r="B8" s="58" t="s">
        <v>294</v>
      </c>
      <c r="C8" s="58" t="str">
        <f t="shared" si="0"/>
        <v>Trisha</v>
      </c>
      <c r="D8" s="58" t="str">
        <f t="shared" si="1"/>
        <v>Jones</v>
      </c>
      <c r="E8" s="58" t="str">
        <f t="shared" si="2"/>
        <v>Trisha.Jones@gmail.com</v>
      </c>
      <c r="F8" s="109">
        <v>8312384876</v>
      </c>
      <c r="G8" s="80">
        <v>34124</v>
      </c>
      <c r="H8" s="58" t="str">
        <f t="shared" ca="1" si="3"/>
        <v>Not birthday.</v>
      </c>
      <c r="I8" s="80">
        <v>43025</v>
      </c>
      <c r="J8" s="111">
        <f t="shared" ca="1" si="4"/>
        <v>3.6684931506849314</v>
      </c>
      <c r="K8" s="149">
        <f t="shared" si="5"/>
        <v>56069</v>
      </c>
    </row>
    <row r="9" spans="1:14" x14ac:dyDescent="0.45">
      <c r="A9" s="133">
        <v>564567</v>
      </c>
      <c r="B9" s="58" t="s">
        <v>295</v>
      </c>
      <c r="C9" s="58" t="str">
        <f t="shared" si="0"/>
        <v>Jesse</v>
      </c>
      <c r="D9" s="58" t="str">
        <f t="shared" si="1"/>
        <v>Lima</v>
      </c>
      <c r="E9" s="58" t="str">
        <f t="shared" si="2"/>
        <v>Jesse.Lima@gmail.com</v>
      </c>
      <c r="F9" s="109">
        <v>8319085634</v>
      </c>
      <c r="G9" s="80">
        <v>35878</v>
      </c>
      <c r="H9" s="58" t="str">
        <f t="shared" ca="1" si="3"/>
        <v>Not birthday.</v>
      </c>
      <c r="I9" s="80">
        <v>42361</v>
      </c>
      <c r="J9" s="111">
        <f t="shared" ca="1" si="4"/>
        <v>5.4876712328767123</v>
      </c>
      <c r="K9" s="149">
        <f t="shared" si="5"/>
        <v>57824</v>
      </c>
    </row>
    <row r="10" spans="1:14" x14ac:dyDescent="0.45">
      <c r="A10" s="134">
        <v>133455</v>
      </c>
      <c r="B10" s="41" t="s">
        <v>296</v>
      </c>
      <c r="C10" s="41" t="str">
        <f t="shared" si="0"/>
        <v>Sarah</v>
      </c>
      <c r="D10" s="41" t="str">
        <f t="shared" si="1"/>
        <v>Ferra</v>
      </c>
      <c r="E10" s="41" t="str">
        <f t="shared" si="2"/>
        <v>Sarah.Ferra@gmail.com</v>
      </c>
      <c r="F10" s="117">
        <v>8314670924</v>
      </c>
      <c r="G10" s="131">
        <v>36636</v>
      </c>
      <c r="H10" s="41" t="str">
        <f t="shared" ca="1" si="3"/>
        <v>Not birthday.</v>
      </c>
      <c r="I10" s="131">
        <v>43970</v>
      </c>
      <c r="J10" s="150">
        <f t="shared" ca="1" si="4"/>
        <v>1.0794520547945206</v>
      </c>
      <c r="K10" s="151">
        <f t="shared" si="5"/>
        <v>58581</v>
      </c>
    </row>
    <row r="11" spans="1:14" ht="23.25" x14ac:dyDescent="0.7">
      <c r="F11"/>
      <c r="G11"/>
      <c r="J11"/>
      <c r="M11" s="12" t="s">
        <v>283</v>
      </c>
      <c r="N11" s="70">
        <v>123424</v>
      </c>
    </row>
    <row r="12" spans="1:14" ht="23.25" x14ac:dyDescent="0.7">
      <c r="F12"/>
      <c r="G12"/>
      <c r="J12"/>
      <c r="M12" s="12" t="s">
        <v>284</v>
      </c>
      <c r="N12" s="70" t="str">
        <f>VLOOKUP(N11,A4:K10,2,FALSE)</f>
        <v>Trisha Jones</v>
      </c>
    </row>
    <row r="13" spans="1:14" ht="23.25" x14ac:dyDescent="0.7">
      <c r="F13"/>
      <c r="G13"/>
      <c r="J13"/>
      <c r="M13" s="12" t="s">
        <v>305</v>
      </c>
      <c r="N13" s="78">
        <f>VLOOKUP(N11,Labor!A4:H10,5,FALSE)</f>
        <v>40</v>
      </c>
    </row>
    <row r="14" spans="1:14" x14ac:dyDescent="0.45">
      <c r="F14"/>
      <c r="G14"/>
      <c r="J14"/>
    </row>
    <row r="15" spans="1:14" x14ac:dyDescent="0.45">
      <c r="F15"/>
      <c r="G15"/>
      <c r="J15"/>
    </row>
    <row r="16" spans="1:14" x14ac:dyDescent="0.45">
      <c r="F16"/>
      <c r="G16"/>
      <c r="J16"/>
    </row>
    <row r="17" customFormat="1" x14ac:dyDescent="0.45"/>
    <row r="18" customFormat="1" x14ac:dyDescent="0.45"/>
  </sheetData>
  <mergeCells count="3">
    <mergeCell ref="A1:A3"/>
    <mergeCell ref="B1:B3"/>
    <mergeCell ref="F1:F3"/>
  </mergeCells>
  <dataValidations count="3">
    <dataValidation type="textLength" operator="equal" allowBlank="1" showInputMessage="1" showErrorMessage="1" errorTitle="Error" error="Input a ten digit phone number." sqref="C1:C3 F19:F1048576 F1 F4:F10" xr:uid="{129D6F7D-E78A-4623-B98F-6710C9B757A4}">
      <formula1>10</formula1>
    </dataValidation>
    <dataValidation allowBlank="1" showInputMessage="1" showErrorMessage="1" sqref="A4" xr:uid="{40BC4822-1999-4627-AD34-024F2D5135FD}"/>
    <dataValidation type="list" allowBlank="1" showInputMessage="1" showErrorMessage="1" sqref="N11" xr:uid="{949A1429-A5AB-404B-9A75-9B7F12917D50}">
      <formula1>$A$5:$A$10</formula1>
    </dataValidation>
  </dataValidations>
  <pageMargins left="0.7" right="0.7" top="0.75" bottom="0.75" header="0.3" footer="0.3"/>
  <pageSetup orientation="portrait" r:id="rId1"/>
  <drawing r:id="rId2"/>
  <legacyDrawing r:id="rId3"/>
  <picture r:id="rId4"/>
  <controls>
    <mc:AlternateContent xmlns:mc="http://schemas.openxmlformats.org/markup-compatibility/2006">
      <mc:Choice Requires="x14">
        <control shapeId="9217" r:id="rId5" name="CommandButton1">
          <controlPr defaultSize="0" autoLine="0" r:id="rId6">
            <anchor moveWithCells="1">
              <from>
                <xdr:col>13</xdr:col>
                <xdr:colOff>142875</xdr:colOff>
                <xdr:row>5</xdr:row>
                <xdr:rowOff>76200</xdr:rowOff>
              </from>
              <to>
                <xdr:col>14</xdr:col>
                <xdr:colOff>14288</xdr:colOff>
                <xdr:row>9</xdr:row>
                <xdr:rowOff>0</xdr:rowOff>
              </to>
            </anchor>
          </controlPr>
        </control>
      </mc:Choice>
      <mc:Fallback>
        <control shapeId="9217" r:id="rId5" name="CommandButton1"/>
      </mc:Fallback>
    </mc:AlternateContent>
    <mc:AlternateContent xmlns:mc="http://schemas.openxmlformats.org/markup-compatibility/2006">
      <mc:Choice Requires="x14">
        <control shapeId="9218" r:id="rId7" name="Button 2">
          <controlPr defaultSize="0" print="0" autoFill="0" autoPict="0" macro="[0]!Employees_to_Labor_to_Analytics">
            <anchor moveWithCells="1" sizeWithCells="1">
              <from>
                <xdr:col>12</xdr:col>
                <xdr:colOff>752475</xdr:colOff>
                <xdr:row>13</xdr:row>
                <xdr:rowOff>171450</xdr:rowOff>
              </from>
              <to>
                <xdr:col>14</xdr:col>
                <xdr:colOff>38100</xdr:colOff>
                <xdr:row>17</xdr:row>
                <xdr:rowOff>161925</xdr:rowOff>
              </to>
            </anchor>
          </controlPr>
        </control>
      </mc:Choice>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2AF2C-B849-44B7-8E37-730FF29D9A2A}">
  <sheetPr codeName="Sheet8"/>
  <dimension ref="A1:I14"/>
  <sheetViews>
    <sheetView zoomScale="110" zoomScaleNormal="110" workbookViewId="0">
      <selection activeCell="I6" sqref="I6"/>
    </sheetView>
  </sheetViews>
  <sheetFormatPr defaultColWidth="8.86328125" defaultRowHeight="14.25" x14ac:dyDescent="0.45"/>
  <cols>
    <col min="1" max="1" width="24.73046875" customWidth="1"/>
    <col min="2" max="2" width="19.73046875" bestFit="1" customWidth="1"/>
    <col min="3" max="3" width="18.265625" customWidth="1"/>
    <col min="4" max="4" width="12" customWidth="1"/>
    <col min="5" max="5" width="19" customWidth="1"/>
    <col min="6" max="8" width="18.265625" customWidth="1"/>
    <col min="9" max="9" width="20.3984375" customWidth="1"/>
  </cols>
  <sheetData>
    <row r="1" spans="1:9" x14ac:dyDescent="0.45">
      <c r="A1" s="174"/>
      <c r="B1" s="226" t="s">
        <v>352</v>
      </c>
      <c r="C1" s="226"/>
      <c r="G1" s="174"/>
    </row>
    <row r="2" spans="1:9" x14ac:dyDescent="0.45">
      <c r="A2" s="174"/>
      <c r="B2" s="226"/>
      <c r="C2" s="226"/>
      <c r="G2" s="174"/>
      <c r="H2" s="159"/>
    </row>
    <row r="3" spans="1:9" ht="18.75" customHeight="1" x14ac:dyDescent="0.45">
      <c r="A3" s="174"/>
      <c r="B3" s="226"/>
      <c r="C3" s="226"/>
      <c r="G3" s="225"/>
    </row>
    <row r="4" spans="1:9" x14ac:dyDescent="0.45">
      <c r="A4" s="141" t="s">
        <v>283</v>
      </c>
      <c r="B4" s="142" t="s">
        <v>343</v>
      </c>
      <c r="C4" s="142" t="s">
        <v>297</v>
      </c>
      <c r="D4" s="142" t="s">
        <v>298</v>
      </c>
      <c r="E4" s="142" t="s">
        <v>299</v>
      </c>
      <c r="F4" s="142" t="s">
        <v>300</v>
      </c>
      <c r="G4" s="142" t="s">
        <v>288</v>
      </c>
      <c r="H4" s="142" t="s">
        <v>301</v>
      </c>
      <c r="I4" s="143" t="s">
        <v>321</v>
      </c>
    </row>
    <row r="5" spans="1:9" x14ac:dyDescent="0.45">
      <c r="A5" s="114">
        <v>241934</v>
      </c>
      <c r="B5" s="58" t="s">
        <v>291</v>
      </c>
      <c r="C5" s="58" t="s">
        <v>302</v>
      </c>
      <c r="D5" s="112">
        <f ca="1">18.5+(Employees!J5*0.5)</f>
        <v>19.406849315068492</v>
      </c>
      <c r="E5" s="111">
        <v>40</v>
      </c>
      <c r="F5" s="112">
        <f t="shared" ref="F5:F10" ca="1" si="0">D5*E5</f>
        <v>776.2739726027396</v>
      </c>
      <c r="G5" s="80">
        <v>43702</v>
      </c>
      <c r="H5" s="113">
        <f ca="1">Employees!J5*40</f>
        <v>72.547945205479451</v>
      </c>
      <c r="I5" s="154">
        <f>Analytics!D5</f>
        <v>2</v>
      </c>
    </row>
    <row r="6" spans="1:9" x14ac:dyDescent="0.45">
      <c r="A6" s="114">
        <v>241243</v>
      </c>
      <c r="B6" s="58" t="s">
        <v>292</v>
      </c>
      <c r="C6" s="58" t="s">
        <v>302</v>
      </c>
      <c r="D6" s="112">
        <f ca="1">18.5+(Employees!J6*0.5)</f>
        <v>21.68082191780822</v>
      </c>
      <c r="E6" s="111">
        <v>40</v>
      </c>
      <c r="F6" s="112">
        <f t="shared" ca="1" si="0"/>
        <v>867.23287671232879</v>
      </c>
      <c r="G6" s="80">
        <v>42042</v>
      </c>
      <c r="H6" s="113">
        <f ca="1">Employees!J6*40</f>
        <v>254.46575342465752</v>
      </c>
      <c r="I6" s="154">
        <f>Analytics!D6</f>
        <v>0</v>
      </c>
    </row>
    <row r="7" spans="1:9" x14ac:dyDescent="0.45">
      <c r="A7" s="114">
        <v>653456</v>
      </c>
      <c r="B7" s="58" t="s">
        <v>293</v>
      </c>
      <c r="C7" s="58" t="s">
        <v>302</v>
      </c>
      <c r="D7" s="112">
        <f ca="1">18.5+(Employees!J7*0.5)</f>
        <v>19.609589041095891</v>
      </c>
      <c r="E7" s="111">
        <v>40</v>
      </c>
      <c r="F7" s="112">
        <f t="shared" ca="1" si="0"/>
        <v>784.38356164383561</v>
      </c>
      <c r="G7" s="80">
        <v>43554</v>
      </c>
      <c r="H7" s="113">
        <f ca="1">Employees!J7*40</f>
        <v>88.767123287671239</v>
      </c>
      <c r="I7" s="154">
        <f>Analytics!D7</f>
        <v>0</v>
      </c>
    </row>
    <row r="8" spans="1:9" x14ac:dyDescent="0.45">
      <c r="A8" s="114">
        <v>123424</v>
      </c>
      <c r="B8" s="58" t="s">
        <v>294</v>
      </c>
      <c r="C8" s="58" t="s">
        <v>302</v>
      </c>
      <c r="D8" s="112">
        <f ca="1">18.5+(Employees!J8*0.5)</f>
        <v>20.334246575342465</v>
      </c>
      <c r="E8" s="111">
        <v>40</v>
      </c>
      <c r="F8" s="112">
        <f t="shared" ca="1" si="0"/>
        <v>813.36986301369859</v>
      </c>
      <c r="G8" s="80">
        <v>43025</v>
      </c>
      <c r="H8" s="113">
        <f ca="1">Employees!J8*40</f>
        <v>146.73972602739727</v>
      </c>
      <c r="I8" s="154">
        <f>Analytics!D8</f>
        <v>2</v>
      </c>
    </row>
    <row r="9" spans="1:9" x14ac:dyDescent="0.45">
      <c r="A9" s="114">
        <v>564567</v>
      </c>
      <c r="B9" s="58" t="s">
        <v>295</v>
      </c>
      <c r="C9" s="58" t="s">
        <v>302</v>
      </c>
      <c r="D9" s="112">
        <f ca="1">18.5+(Employees!J9*0.5)</f>
        <v>21.243835616438357</v>
      </c>
      <c r="E9" s="111">
        <v>40</v>
      </c>
      <c r="F9" s="112">
        <f t="shared" ca="1" si="0"/>
        <v>849.75342465753431</v>
      </c>
      <c r="G9" s="80">
        <v>42361</v>
      </c>
      <c r="H9" s="113">
        <f ca="1">Employees!J9*40</f>
        <v>219.50684931506851</v>
      </c>
      <c r="I9" s="154">
        <f>Analytics!D9</f>
        <v>4</v>
      </c>
    </row>
    <row r="10" spans="1:9" x14ac:dyDescent="0.45">
      <c r="A10" s="116">
        <v>133455</v>
      </c>
      <c r="B10" s="41" t="s">
        <v>296</v>
      </c>
      <c r="C10" s="41" t="s">
        <v>303</v>
      </c>
      <c r="D10" s="155">
        <f ca="1">15.5+(Employees!J10*0.5)</f>
        <v>16.039726027397261</v>
      </c>
      <c r="E10" s="150">
        <v>20</v>
      </c>
      <c r="F10" s="155">
        <f t="shared" ca="1" si="0"/>
        <v>320.79452054794524</v>
      </c>
      <c r="G10" s="131">
        <v>43970</v>
      </c>
      <c r="H10" s="156">
        <f ca="1">Employees!J10*40</f>
        <v>43.178082191780824</v>
      </c>
      <c r="I10" s="157">
        <f>Analytics!D10</f>
        <v>4</v>
      </c>
    </row>
    <row r="12" spans="1:9" ht="14.65" thickBot="1" x14ac:dyDescent="0.5"/>
    <row r="13" spans="1:9" ht="14.65" thickBot="1" x14ac:dyDescent="0.5">
      <c r="A13" s="67" t="s">
        <v>308</v>
      </c>
      <c r="B13" s="68" t="s">
        <v>309</v>
      </c>
    </row>
    <row r="14" spans="1:9" x14ac:dyDescent="0.45">
      <c r="A14" s="81">
        <f>SUM(E5:E100)</f>
        <v>220</v>
      </c>
      <c r="B14" s="82">
        <f ca="1">SUM(F5:F100)</f>
        <v>4411.8082191780823</v>
      </c>
    </row>
  </sheetData>
  <mergeCells count="3">
    <mergeCell ref="A1:A3"/>
    <mergeCell ref="B1:C3"/>
    <mergeCell ref="G1:G3"/>
  </mergeCells>
  <conditionalFormatting sqref="H4:H1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r:id="rId1"/>
  <drawing r:id="rId2"/>
  <picture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1D29D-1ADE-45E6-8723-2AC93155E6F5}">
  <sheetPr codeName="Sheet11"/>
  <dimension ref="A1:F12"/>
  <sheetViews>
    <sheetView zoomScale="91" zoomScaleNormal="80" workbookViewId="0">
      <selection activeCell="O2" sqref="O2"/>
    </sheetView>
  </sheetViews>
  <sheetFormatPr defaultColWidth="11.265625" defaultRowHeight="14.25" x14ac:dyDescent="0.45"/>
  <cols>
    <col min="1" max="1" width="13.6640625" bestFit="1" customWidth="1"/>
    <col min="2" max="2" width="20.59765625" bestFit="1" customWidth="1"/>
    <col min="3" max="3" width="12.3984375" bestFit="1" customWidth="1"/>
    <col min="4" max="4" width="15.6640625" bestFit="1" customWidth="1"/>
    <col min="5" max="5" width="12.3984375" bestFit="1" customWidth="1"/>
    <col min="6" max="6" width="11" bestFit="1" customWidth="1"/>
    <col min="7" max="7" width="12" bestFit="1" customWidth="1"/>
    <col min="8" max="8" width="7.3984375" bestFit="1" customWidth="1"/>
    <col min="9" max="9" width="11.59765625" bestFit="1" customWidth="1"/>
    <col min="10" max="10" width="16.73046875" bestFit="1" customWidth="1"/>
    <col min="11" max="11" width="10.73046875" bestFit="1" customWidth="1"/>
    <col min="12" max="12" width="11.3984375" bestFit="1" customWidth="1"/>
    <col min="13" max="13" width="12" bestFit="1" customWidth="1"/>
    <col min="14" max="14" width="7.3984375" bestFit="1" customWidth="1"/>
    <col min="15" max="15" width="11.59765625" bestFit="1" customWidth="1"/>
  </cols>
  <sheetData>
    <row r="1" spans="1:6" x14ac:dyDescent="0.45">
      <c r="A1" s="174"/>
      <c r="B1" s="226" t="s">
        <v>304</v>
      </c>
      <c r="C1" s="226"/>
      <c r="D1" s="226"/>
    </row>
    <row r="2" spans="1:6" ht="92.25" customHeight="1" x14ac:dyDescent="0.45">
      <c r="A2" s="174"/>
      <c r="B2" s="226"/>
      <c r="C2" s="226"/>
      <c r="D2" s="226"/>
    </row>
    <row r="3" spans="1:6" hidden="1" x14ac:dyDescent="0.45">
      <c r="A3" s="174"/>
      <c r="B3" s="226"/>
      <c r="C3" s="226"/>
      <c r="D3" s="226"/>
    </row>
    <row r="4" spans="1:6" hidden="1" x14ac:dyDescent="0.45">
      <c r="A4" s="164" t="s">
        <v>310</v>
      </c>
      <c r="B4" t="s">
        <v>356</v>
      </c>
      <c r="C4" s="164" t="s">
        <v>310</v>
      </c>
      <c r="D4" t="s">
        <v>357</v>
      </c>
      <c r="E4" s="164" t="s">
        <v>310</v>
      </c>
      <c r="F4" t="s">
        <v>358</v>
      </c>
    </row>
    <row r="5" spans="1:6" hidden="1" x14ac:dyDescent="0.45">
      <c r="A5" s="18" t="s">
        <v>326</v>
      </c>
      <c r="B5" s="163">
        <v>1</v>
      </c>
      <c r="C5" s="18" t="s">
        <v>291</v>
      </c>
      <c r="D5" s="163">
        <v>2</v>
      </c>
      <c r="E5" s="165">
        <v>44287</v>
      </c>
      <c r="F5" s="163">
        <v>25</v>
      </c>
    </row>
    <row r="6" spans="1:6" hidden="1" x14ac:dyDescent="0.45">
      <c r="A6" s="18" t="s">
        <v>344</v>
      </c>
      <c r="B6" s="163">
        <v>1</v>
      </c>
      <c r="C6" s="18" t="s">
        <v>295</v>
      </c>
      <c r="D6" s="163">
        <v>2</v>
      </c>
      <c r="E6" s="165">
        <v>44301</v>
      </c>
      <c r="F6" s="163">
        <v>25</v>
      </c>
    </row>
    <row r="7" spans="1:6" hidden="1" x14ac:dyDescent="0.45">
      <c r="A7" s="18" t="s">
        <v>345</v>
      </c>
      <c r="B7" s="163">
        <v>1</v>
      </c>
      <c r="C7" s="18" t="s">
        <v>296</v>
      </c>
      <c r="D7" s="163">
        <v>3</v>
      </c>
      <c r="E7" s="165">
        <v>44313</v>
      </c>
      <c r="F7" s="163">
        <v>141.19999999999999</v>
      </c>
    </row>
    <row r="8" spans="1:6" hidden="1" x14ac:dyDescent="0.45">
      <c r="A8" s="18" t="s">
        <v>346</v>
      </c>
      <c r="B8" s="163">
        <v>1</v>
      </c>
      <c r="C8" s="18" t="s">
        <v>294</v>
      </c>
      <c r="D8" s="163">
        <v>2</v>
      </c>
      <c r="E8" s="165">
        <v>44316</v>
      </c>
      <c r="F8" s="163">
        <v>164.5</v>
      </c>
    </row>
    <row r="9" spans="1:6" hidden="1" x14ac:dyDescent="0.45">
      <c r="A9" s="18" t="s">
        <v>347</v>
      </c>
      <c r="B9" s="163">
        <v>1</v>
      </c>
      <c r="C9" s="18" t="s">
        <v>361</v>
      </c>
      <c r="D9" s="163"/>
      <c r="E9" s="18" t="s">
        <v>361</v>
      </c>
      <c r="F9" s="163"/>
    </row>
    <row r="10" spans="1:6" hidden="1" x14ac:dyDescent="0.45">
      <c r="A10" s="18" t="s">
        <v>322</v>
      </c>
      <c r="B10" s="163">
        <v>4</v>
      </c>
      <c r="C10" s="18" t="s">
        <v>311</v>
      </c>
      <c r="D10" s="163">
        <v>9</v>
      </c>
      <c r="E10" s="18" t="s">
        <v>311</v>
      </c>
      <c r="F10" s="163">
        <v>355.7</v>
      </c>
    </row>
    <row r="11" spans="1:6" hidden="1" x14ac:dyDescent="0.45">
      <c r="A11" s="18" t="s">
        <v>361</v>
      </c>
      <c r="B11" s="163"/>
    </row>
    <row r="12" spans="1:6" hidden="1" x14ac:dyDescent="0.45">
      <c r="A12" s="18" t="s">
        <v>311</v>
      </c>
      <c r="B12" s="163">
        <v>9</v>
      </c>
    </row>
  </sheetData>
  <mergeCells count="2">
    <mergeCell ref="A1:A3"/>
    <mergeCell ref="B1:D3"/>
  </mergeCells>
  <pageMargins left="0.7" right="0.7" top="0.75" bottom="0.75" header="0.3" footer="0.3"/>
  <pageSetup orientation="portrait" r:id="rId4"/>
  <drawing r:id="rId5"/>
  <picture r:id="rId6"/>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7FBFCD9FD1B6241973CD02B093304A8" ma:contentTypeVersion="4" ma:contentTypeDescription="Create a new document." ma:contentTypeScope="" ma:versionID="6804c95b624502a3a931d5541f0e757e">
  <xsd:schema xmlns:xsd="http://www.w3.org/2001/XMLSchema" xmlns:xs="http://www.w3.org/2001/XMLSchema" xmlns:p="http://schemas.microsoft.com/office/2006/metadata/properties" xmlns:ns2="6e3e8fc7-b1ea-4cc2-a155-54593b5fecfc" targetNamespace="http://schemas.microsoft.com/office/2006/metadata/properties" ma:root="true" ma:fieldsID="4ed5f8c5bcf8ff12ae21c99a85ba0170" ns2:_="">
    <xsd:import namespace="6e3e8fc7-b1ea-4cc2-a155-54593b5fecf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3e8fc7-b1ea-4cc2-a155-54593b5fec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FBD87D8-67B5-4F5E-969D-05FA2BE67E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3e8fc7-b1ea-4cc2-a155-54593b5fec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56CE261-C228-4754-A94D-905CDB27FCB5}">
  <ds:schemaRefs>
    <ds:schemaRef ds:uri="http://schemas.microsoft.com/sharepoint/v3/contenttype/forms"/>
  </ds:schemaRefs>
</ds:datastoreItem>
</file>

<file path=customXml/itemProps3.xml><?xml version="1.0" encoding="utf-8"?>
<ds:datastoreItem xmlns:ds="http://schemas.openxmlformats.org/officeDocument/2006/customXml" ds:itemID="{ABB2ACDF-1736-4E41-8308-296ABDDE2989}">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6e3e8fc7-b1ea-4cc2-a155-54593b5fecf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Home</vt:lpstr>
      <vt:lpstr>Services</vt:lpstr>
      <vt:lpstr>Members</vt:lpstr>
      <vt:lpstr>Invoice</vt:lpstr>
      <vt:lpstr>Transactions</vt:lpstr>
      <vt:lpstr>Analytics</vt:lpstr>
      <vt:lpstr>Inventory</vt:lpstr>
      <vt:lpstr>Suppliers</vt:lpstr>
      <vt:lpstr>Employees</vt:lpstr>
      <vt:lpstr>Labor</vt:lpstr>
      <vt:lpstr>Dashboard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Brenda</dc:creator>
  <cp:keywords/>
  <dc:description/>
  <cp:lastModifiedBy>Brenda</cp:lastModifiedBy>
  <cp:revision/>
  <cp:lastPrinted>2021-05-10T06:36:04Z</cp:lastPrinted>
  <dcterms:created xsi:type="dcterms:W3CDTF">2021-03-19T17:25:51Z</dcterms:created>
  <dcterms:modified xsi:type="dcterms:W3CDTF">2021-06-18T06:59:49Z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0x01010007FBFCD9FD1B6241973CD02B093304A8</vt:lpwstr>
  </property>
</Properties>
</file>